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structions" sheetId="1" r:id="rId4"/>
    <sheet state="visible" name="Dashboard" sheetId="2" r:id="rId5"/>
    <sheet state="visible" name="KPI_Data" sheetId="3" r:id="rId6"/>
    <sheet state="visible" name="High_Value_Customers" sheetId="4" r:id="rId7"/>
    <sheet state="visible" name="Region_Wise_Product_Analysis" sheetId="5" r:id="rId8"/>
    <sheet state="visible" name="Pivot_Region" sheetId="6" r:id="rId9"/>
    <sheet state="visible" name="Monthly Sales Trend" sheetId="7" r:id="rId10"/>
    <sheet state="visible" name="Regression" sheetId="8" r:id="rId11"/>
    <sheet state="visible" name="Descriptive_Analysis" sheetId="9" r:id="rId12"/>
    <sheet state="visible" name="Dataset" sheetId="10" r:id="rId13"/>
    <sheet state="visible" name="Monthly_Growth" sheetId="11" r:id="rId14"/>
    <sheet state="visible" name="Product Performance" sheetId="12" r:id="rId15"/>
    <sheet state="visible" name="Profit_Analysis" sheetId="13" r:id="rId16"/>
  </sheets>
  <definedNames>
    <definedName name="Slicer_Product_Category">#REF!</definedName>
    <definedName name="Slicer_Region">#REF!</definedName>
    <definedName name="NativeTimeline_Order_Date">#REF!</definedName>
  </definedNames>
  <calcPr/>
  <extLst>
    <ext uri="GoogleSheetsCustomDataVersion2">
      <go:sheetsCustomData xmlns:go="http://customooxmlschemas.google.com/" r:id="rId17" roundtripDataChecksum="W5q34qndoJc34c+iLaHAxJ21M34uByysGh7VQ0lxkQI="/>
    </ext>
  </extLst>
</workbook>
</file>

<file path=xl/sharedStrings.xml><?xml version="1.0" encoding="utf-8"?>
<sst xmlns="http://schemas.openxmlformats.org/spreadsheetml/2006/main" count="946" uniqueCount="163">
  <si>
    <t>PR. 2 Analyzer</t>
  </si>
  <si>
    <r>
      <rPr>
        <rFont val="Calibri"/>
        <b/>
        <color theme="1"/>
        <sz val="11.0"/>
      </rPr>
      <t xml:space="preserve">Topics:
</t>
    </r>
    <r>
      <rPr>
        <rFont val="Calibri"/>
        <color theme="1"/>
        <sz val="11.0"/>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rFont val="Calibri"/>
        <b/>
        <color rgb="FF38761D"/>
        <sz val="11.0"/>
      </rPr>
      <t>Main Tasks:</t>
    </r>
    <r>
      <rPr>
        <rFont val="Calibri"/>
        <color rgb="FF38761D"/>
        <sz val="11.0"/>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rFont val="Calibri"/>
        <color theme="1"/>
        <sz val="11.0"/>
      </rPr>
      <t xml:space="preserve">
</t>
    </r>
    <r>
      <rPr>
        <rFont val="Calibri"/>
        <b/>
        <color theme="1"/>
        <sz val="11.0"/>
      </rPr>
      <t xml:space="preserve">Deliverable:
</t>
    </r>
    <r>
      <rPr>
        <rFont val="Calibri"/>
        <color theme="1"/>
        <sz val="11.0"/>
      </rPr>
      <t>Complete the given worksheet by applying the required formulas in respective sheets.-</t>
    </r>
  </si>
  <si>
    <t xml:space="preserve">              Harshit ENTERPRISES Sales Performance Dashboard</t>
  </si>
  <si>
    <t>Total Sales</t>
  </si>
  <si>
    <t>Best Region</t>
  </si>
  <si>
    <t>Best Product</t>
  </si>
  <si>
    <t>Top Sales</t>
  </si>
  <si>
    <t>Enter Customer Name</t>
  </si>
  <si>
    <t>Robert Anderson</t>
  </si>
  <si>
    <t xml:space="preserve"> High-Value Customers </t>
  </si>
  <si>
    <t>Region</t>
  </si>
  <si>
    <t>Product_Category</t>
  </si>
  <si>
    <t>Sales</t>
  </si>
  <si>
    <t>Quantity</t>
  </si>
  <si>
    <t>Discount</t>
  </si>
  <si>
    <t>Order_Date</t>
  </si>
  <si>
    <t>Profit</t>
  </si>
  <si>
    <t>Total Customer Sales</t>
  </si>
  <si>
    <t>Region-wise Product Sales Analysis</t>
  </si>
  <si>
    <t>Sales Amount</t>
  </si>
  <si>
    <t>Product Category</t>
  </si>
  <si>
    <t>Books</t>
  </si>
  <si>
    <t>Clothing</t>
  </si>
  <si>
    <t>Electronics</t>
  </si>
  <si>
    <t>Furniture</t>
  </si>
  <si>
    <t>Office Supplies</t>
  </si>
  <si>
    <t>Grand Total</t>
  </si>
  <si>
    <t>Central</t>
  </si>
  <si>
    <t>East</t>
  </si>
  <si>
    <t>North</t>
  </si>
  <si>
    <t>South</t>
  </si>
  <si>
    <t>West</t>
  </si>
  <si>
    <t>Regional Contribution</t>
  </si>
  <si>
    <t>Sum of Sales</t>
  </si>
  <si>
    <t>Montly Sales Trend</t>
  </si>
  <si>
    <t>Month</t>
  </si>
  <si>
    <t>2024</t>
  </si>
  <si>
    <t>Apr</t>
  </si>
  <si>
    <t>May</t>
  </si>
  <si>
    <t>Jun</t>
  </si>
  <si>
    <t>Jul</t>
  </si>
  <si>
    <t>Aug</t>
  </si>
  <si>
    <t>Sep</t>
  </si>
  <si>
    <t>Oct</t>
  </si>
  <si>
    <t>Nov</t>
  </si>
  <si>
    <t>Dec</t>
  </si>
  <si>
    <t>2025</t>
  </si>
  <si>
    <t>Jan</t>
  </si>
  <si>
    <t>Feb</t>
  </si>
  <si>
    <t>Mar</t>
  </si>
  <si>
    <t>SUMMARY OUTPUT</t>
  </si>
  <si>
    <t>Regression Statistics</t>
  </si>
  <si>
    <t>Column1</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</si>
  <si>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</si>
  <si>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</si>
  <si>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</si>
  <si>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</si>
  <si>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</si>
  <si>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</si>
  <si>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</si>
  <si>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</si>
  <si>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</si>
  <si>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</si>
  <si>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</si>
  <si>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</si>
  <si>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</si>
  <si>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</si>
  <si>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</si>
  <si>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</si>
  <si>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</si>
  <si>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</si>
  <si>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</si>
  <si>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</si>
  <si>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</si>
  <si>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</si>
  <si>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</si>
  <si>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Mean</t>
  </si>
  <si>
    <t>Median</t>
  </si>
  <si>
    <t>Mode</t>
  </si>
  <si>
    <t>Standard Deviation</t>
  </si>
  <si>
    <t>Sample Variance</t>
  </si>
  <si>
    <t>Kurtosis</t>
  </si>
  <si>
    <t>Skewness</t>
  </si>
  <si>
    <t>Range</t>
  </si>
  <si>
    <t>Minimum</t>
  </si>
  <si>
    <t>Maximum</t>
  </si>
  <si>
    <t>Sum</t>
  </si>
  <si>
    <t>Count</t>
  </si>
  <si>
    <t>Customer_ID</t>
  </si>
  <si>
    <t>Customer_Name</t>
  </si>
  <si>
    <t>Timestamp</t>
  </si>
  <si>
    <t>CUST019</t>
  </si>
  <si>
    <t>James Davis</t>
  </si>
  <si>
    <t>CUST012</t>
  </si>
  <si>
    <t>CUST017</t>
  </si>
  <si>
    <t>James Taylor</t>
  </si>
  <si>
    <t>CUST005</t>
  </si>
  <si>
    <t>CUST030</t>
  </si>
  <si>
    <t>James Wilson</t>
  </si>
  <si>
    <t>CUST007</t>
  </si>
  <si>
    <t>Michael Anderson</t>
  </si>
  <si>
    <t>CUST001</t>
  </si>
  <si>
    <t>Linda Wilson</t>
  </si>
  <si>
    <t>CUST026</t>
  </si>
  <si>
    <t>Mary Davis</t>
  </si>
  <si>
    <t>CUST009</t>
  </si>
  <si>
    <t>Linda Jackson</t>
  </si>
  <si>
    <t>CUST010</t>
  </si>
  <si>
    <t>David Thomas</t>
  </si>
  <si>
    <t>CUST014</t>
  </si>
  <si>
    <t>Emma Davis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</si>
  <si>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</si>
  <si>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</si>
  <si>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</si>
  <si>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</si>
  <si>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</si>
  <si>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</si>
  <si>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</si>
  <si>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</si>
  <si>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</si>
  <si>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</si>
  <si>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</si>
  <si>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</si>
  <si>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</si>
  <si>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</si>
  <si>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</si>
  <si>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</si>
  <si>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</si>
  <si>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</si>
  <si>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</si>
  <si>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</si>
  <si>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</si>
  <si>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</si>
  <si>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</si>
  <si>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</si>
  <si>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</si>
  <si>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</si>
  <si>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</si>
  <si>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</si>
  <si>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</si>
  <si>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</si>
  <si>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</si>
  <si>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</si>
  <si>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</si>
  <si>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</si>
  <si>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</si>
  <si>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</si>
  <si>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Growth %</t>
  </si>
  <si>
    <t>Apr-2024</t>
  </si>
  <si>
    <t>May-2024</t>
  </si>
  <si>
    <t>Jun-2024</t>
  </si>
  <si>
    <t>Jul-2024</t>
  </si>
  <si>
    <t>Aug-2024</t>
  </si>
  <si>
    <t>Sep-2024</t>
  </si>
  <si>
    <t>Oct-2024</t>
  </si>
  <si>
    <t>Nov-2024</t>
  </si>
  <si>
    <t>Dec-2024</t>
  </si>
  <si>
    <t>Jan-2025</t>
  </si>
  <si>
    <t>Feb-2025</t>
  </si>
  <si>
    <t>Mar-2025</t>
  </si>
  <si>
    <t>Apr-2025</t>
  </si>
  <si>
    <t>Matrics</t>
  </si>
  <si>
    <t>Amount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</si>
</sst>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 AM/PM"/>
    <numFmt numFmtId="165" formatCode="yyyy\-mm\-dd"/>
  </numFmts>
  <fonts count="17">
    <font>
      <sz val="11.0"/>
      <color theme="1"/>
      <name val="Calibri"/>
      <scheme val="minor"/>
    </font>
    <font>
      <b/>
      <sz val="11.0"/>
      <color theme="1"/>
      <name val="Calibri"/>
    </font>
    <font>
      <sz val="11.0"/>
      <color theme="1"/>
      <name val="Calibri"/>
    </font>
    <font>
      <b/>
      <sz val="28.0"/>
      <color theme="0"/>
      <name val="Times New Roman"/>
    </font>
    <font>
      <sz val="28.0"/>
      <color theme="0"/>
      <name val="Times New Roman"/>
    </font>
    <font>
      <b/>
      <sz val="28.0"/>
      <color rgb="FFFFFFFF"/>
      <name val="Times New Roman"/>
    </font>
    <font/>
    <font>
      <color theme="1"/>
      <name val="Calibri"/>
      <scheme val="minor"/>
    </font>
    <font>
      <sz val="11.0"/>
      <color theme="0"/>
      <name val="Calibri"/>
    </font>
    <font>
      <b/>
      <sz val="11.0"/>
      <color theme="0"/>
      <name val="Calibri"/>
    </font>
    <font>
      <b/>
      <sz val="12.0"/>
      <color theme="1"/>
      <name val="Times New Roman"/>
    </font>
    <font>
      <sz val="12.0"/>
      <color theme="1"/>
      <name val="Times New Roman"/>
    </font>
    <font>
      <i/>
      <sz val="11.0"/>
      <color rgb="FFFFFFFF"/>
      <name val="Calibri"/>
    </font>
    <font>
      <i/>
      <sz val="11.0"/>
      <color theme="1"/>
      <name val="Calibri"/>
    </font>
    <font>
      <i/>
      <sz val="11.0"/>
      <color theme="0"/>
      <name val="Calibri"/>
    </font>
    <font>
      <b/>
      <sz val="11.0"/>
      <color rgb="FFFFFFFF"/>
      <name val="Calibri"/>
    </font>
    <font>
      <sz val="11.0"/>
      <color rgb="FFFFFFFF"/>
      <name val="Calibri"/>
    </font>
  </fonts>
  <fills count="9">
    <fill>
      <patternFill patternType="none"/>
    </fill>
    <fill>
      <patternFill patternType="lightGray"/>
    </fill>
    <fill>
      <patternFill patternType="solid">
        <fgColor rgb="FFFFF2CC"/>
        <bgColor rgb="FFFFF2CC"/>
      </patternFill>
    </fill>
    <fill>
      <patternFill patternType="solid">
        <fgColor rgb="FF0070C0"/>
        <bgColor rgb="FF0070C0"/>
      </patternFill>
    </fill>
    <fill>
      <patternFill patternType="solid">
        <fgColor rgb="FF95B3D7"/>
        <bgColor rgb="FF95B3D7"/>
      </patternFill>
    </fill>
    <fill>
      <patternFill patternType="solid">
        <fgColor rgb="FFB8CCE4"/>
        <bgColor rgb="FFB8CCE4"/>
      </patternFill>
    </fill>
    <fill>
      <patternFill patternType="solid">
        <fgColor rgb="FF92D050"/>
        <bgColor rgb="FF92D050"/>
      </patternFill>
    </fill>
    <fill>
      <patternFill patternType="solid">
        <fgColor rgb="FF00B0F0"/>
        <bgColor rgb="FF00B0F0"/>
      </patternFill>
    </fill>
    <fill>
      <patternFill patternType="solid">
        <fgColor theme="0"/>
        <bgColor theme="0"/>
      </patternFill>
    </fill>
  </fills>
  <borders count="24">
    <border/>
    <border>
      <left style="thin">
        <color rgb="FF000000"/>
      </left>
      <right style="thin">
        <color rgb="FF000000"/>
      </right>
      <top style="thin">
        <color rgb="FF000000"/>
      </top>
      <bottom style="thin">
        <color rgb="FF000000"/>
      </bottom>
    </border>
    <border>
      <left/>
      <top/>
    </border>
    <border>
      <top/>
    </border>
    <border>
      <right/>
      <top/>
    </border>
    <border>
      <left/>
      <right/>
      <top/>
    </border>
    <border>
      <left/>
      <right/>
      <top/>
      <bottom/>
    </border>
    <border>
      <left/>
    </border>
    <border>
      <right/>
    </border>
    <border>
      <left/>
      <right/>
    </border>
    <border>
      <left/>
      <bottom/>
    </border>
    <border>
      <bottom/>
    </border>
    <border>
      <right/>
      <bottom/>
    </border>
    <border>
      <left/>
      <right/>
      <bottom/>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xf borderId="1" fillId="0" fontId="2" numFmtId="0" xfId="0" applyAlignment="1" applyBorder="1" applyFont="1">
      <alignment shrinkToFit="0" wrapText="1"/>
    </xf>
    <xf borderId="0" fillId="3" fontId="3" numFmtId="0" xfId="0" applyAlignment="1" applyFill="1" applyFont="1">
      <alignment horizontal="center"/>
    </xf>
    <xf borderId="0" fillId="3" fontId="2" numFmtId="0" xfId="0" applyAlignment="1" applyFont="1">
      <alignment horizontal="center"/>
    </xf>
    <xf borderId="0" fillId="3" fontId="4" numFmtId="0" xfId="0" applyAlignment="1" applyFont="1">
      <alignment horizontal="center"/>
    </xf>
    <xf borderId="2" fillId="3" fontId="5" numFmtId="0" xfId="0" applyAlignment="1" applyBorder="1" applyFont="1">
      <alignment horizontal="center" readingOrder="0"/>
    </xf>
    <xf borderId="3" fillId="0" fontId="6" numFmtId="0" xfId="0" applyBorder="1" applyFont="1"/>
    <xf borderId="4" fillId="0" fontId="6" numFmtId="0" xfId="0" applyBorder="1" applyFont="1"/>
    <xf borderId="5" fillId="3" fontId="2" numFmtId="0" xfId="0" applyAlignment="1" applyBorder="1" applyFont="1">
      <alignment horizontal="center"/>
    </xf>
    <xf borderId="6" fillId="3" fontId="2" numFmtId="0" xfId="0" applyAlignment="1" applyBorder="1" applyFont="1">
      <alignment horizontal="center"/>
    </xf>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2" fillId="3" fontId="2" numFmtId="0" xfId="0" applyAlignment="1" applyBorder="1" applyFont="1">
      <alignment horizontal="center"/>
    </xf>
    <xf borderId="0" fillId="0" fontId="2" numFmtId="0" xfId="0" applyAlignment="1" applyFont="1">
      <alignment horizontal="center"/>
    </xf>
    <xf borderId="13" fillId="0" fontId="6" numFmtId="0" xfId="0" applyBorder="1" applyFont="1"/>
    <xf borderId="6" fillId="3" fontId="2" numFmtId="0" xfId="0" applyBorder="1" applyFont="1"/>
    <xf borderId="14" fillId="3" fontId="2" numFmtId="0" xfId="0" applyAlignment="1" applyBorder="1" applyFont="1">
      <alignment horizontal="center"/>
    </xf>
    <xf borderId="15" fillId="0" fontId="6" numFmtId="0" xfId="0" applyBorder="1" applyFont="1"/>
    <xf borderId="16" fillId="0" fontId="6" numFmtId="0" xfId="0" applyBorder="1" applyFont="1"/>
    <xf borderId="0" fillId="0" fontId="7" numFmtId="0" xfId="0" applyFont="1"/>
    <xf borderId="1" fillId="4" fontId="8" numFmtId="0" xfId="0" applyAlignment="1" applyBorder="1" applyFill="1" applyFont="1">
      <alignment horizontal="center" shrinkToFit="0" vertical="center" wrapText="1"/>
    </xf>
    <xf borderId="1" fillId="4" fontId="2" numFmtId="0" xfId="0" applyAlignment="1" applyBorder="1" applyFont="1">
      <alignment horizontal="center"/>
    </xf>
    <xf borderId="1" fillId="4" fontId="2" numFmtId="0" xfId="0" applyAlignment="1" applyBorder="1" applyFont="1">
      <alignment horizontal="center" shrinkToFit="0" vertical="center" wrapText="1"/>
    </xf>
    <xf borderId="17" fillId="4" fontId="1" numFmtId="0" xfId="0" applyAlignment="1" applyBorder="1" applyFont="1">
      <alignment horizontal="center"/>
    </xf>
    <xf borderId="18" fillId="0" fontId="6" numFmtId="0" xfId="0" applyBorder="1" applyFont="1"/>
    <xf borderId="19" fillId="0" fontId="6" numFmtId="0" xfId="0" applyBorder="1" applyFont="1"/>
    <xf borderId="1" fillId="5" fontId="8" numFmtId="0" xfId="0" applyAlignment="1" applyBorder="1" applyFill="1" applyFont="1">
      <alignment horizontal="center"/>
    </xf>
    <xf borderId="1" fillId="5" fontId="2" numFmtId="0" xfId="0" applyAlignment="1" applyBorder="1" applyFont="1">
      <alignment horizontal="center"/>
    </xf>
    <xf borderId="14" fillId="6" fontId="9" numFmtId="0" xfId="0" applyAlignment="1" applyBorder="1" applyFill="1" applyFont="1">
      <alignment horizontal="center"/>
    </xf>
    <xf borderId="20" fillId="5" fontId="10" numFmtId="0" xfId="0" applyAlignment="1" applyBorder="1" applyFont="1">
      <alignment horizontal="center"/>
    </xf>
    <xf borderId="21" fillId="0" fontId="6" numFmtId="0" xfId="0" applyBorder="1" applyFont="1"/>
    <xf borderId="1" fillId="5" fontId="11" numFmtId="0" xfId="0" applyBorder="1" applyFont="1"/>
    <xf borderId="1" fillId="5" fontId="11" numFmtId="0" xfId="0" applyAlignment="1" applyBorder="1" applyFont="1">
      <alignment horizontal="left"/>
    </xf>
    <xf borderId="17" fillId="5" fontId="1" numFmtId="0" xfId="0" applyAlignment="1" applyBorder="1" applyFont="1">
      <alignment horizontal="center"/>
    </xf>
    <xf borderId="1" fillId="0" fontId="2" numFmtId="0" xfId="0" applyAlignment="1" applyBorder="1" applyFont="1">
      <alignment horizontal="center"/>
    </xf>
    <xf borderId="0" fillId="0" fontId="11" numFmtId="0" xfId="0" applyFont="1"/>
    <xf borderId="14" fillId="7" fontId="8" numFmtId="0" xfId="0" applyAlignment="1" applyBorder="1" applyFill="1" applyFont="1">
      <alignment horizontal="center"/>
    </xf>
    <xf borderId="22" fillId="0" fontId="12" numFmtId="0" xfId="0" applyAlignment="1" applyBorder="1" applyFont="1">
      <alignment horizontal="center"/>
    </xf>
    <xf borderId="0" fillId="0" fontId="7" numFmtId="0" xfId="0" applyFont="1"/>
    <xf borderId="20" fillId="4" fontId="8" numFmtId="0" xfId="0" applyAlignment="1" applyBorder="1" applyFont="1">
      <alignment horizontal="center"/>
    </xf>
    <xf borderId="23" fillId="0" fontId="6" numFmtId="0" xfId="0" applyBorder="1" applyFont="1"/>
    <xf borderId="1" fillId="4" fontId="13" numFmtId="0" xfId="0" applyAlignment="1" applyBorder="1" applyFont="1">
      <alignment horizontal="center"/>
    </xf>
    <xf borderId="1" fillId="4" fontId="14" numFmtId="0" xfId="0" applyAlignment="1" applyBorder="1" applyFont="1">
      <alignment horizontal="center"/>
    </xf>
    <xf borderId="1" fillId="4" fontId="2" numFmtId="0" xfId="0" applyBorder="1" applyFont="1"/>
    <xf borderId="1" fillId="4" fontId="8" numFmtId="0" xfId="0" applyBorder="1" applyFont="1"/>
    <xf borderId="20" fillId="7" fontId="14" numFmtId="0" xfId="0" applyAlignment="1" applyBorder="1" applyFont="1">
      <alignment horizontal="center"/>
    </xf>
    <xf borderId="0" fillId="0" fontId="15" numFmtId="0" xfId="0" applyFont="1"/>
    <xf borderId="0" fillId="0" fontId="15" numFmtId="164" xfId="0" applyFont="1" applyNumberFormat="1"/>
    <xf borderId="0" fillId="0" fontId="1" numFmtId="0" xfId="0" applyFont="1"/>
    <xf borderId="0" fillId="0" fontId="2" numFmtId="0" xfId="0" applyAlignment="1" applyFont="1">
      <alignment horizontal="center"/>
    </xf>
    <xf borderId="0" fillId="0" fontId="2" numFmtId="165" xfId="0" applyAlignment="1" applyFont="1" applyNumberFormat="1">
      <alignment horizontal="center"/>
    </xf>
    <xf borderId="0" fillId="0" fontId="2" numFmtId="164" xfId="0" applyAlignment="1" applyFont="1" applyNumberFormat="1">
      <alignment horizontal="center"/>
    </xf>
    <xf borderId="0" fillId="0" fontId="2" numFmtId="164" xfId="0" applyFont="1" applyNumberFormat="1"/>
    <xf borderId="1" fillId="5" fontId="2" numFmtId="0" xfId="0" applyBorder="1" applyFont="1"/>
    <xf borderId="1" fillId="8" fontId="2" numFmtId="0" xfId="0" applyAlignment="1" applyBorder="1" applyFill="1" applyFont="1">
      <alignment horizontal="center"/>
    </xf>
    <xf borderId="1" fillId="8" fontId="2" numFmtId="0" xfId="0" applyBorder="1" applyFont="1"/>
    <xf borderId="1" fillId="8" fontId="2" numFmtId="10" xfId="0" applyBorder="1" applyFont="1" applyNumberFormat="1"/>
    <xf borderId="1" fillId="5" fontId="2" numFmtId="10" xfId="0" applyBorder="1" applyFont="1" applyNumberFormat="1"/>
    <xf borderId="0" fillId="0" fontId="2" numFmtId="0" xfId="0" applyAlignment="1" applyFont="1">
      <alignment horizontal="left"/>
    </xf>
    <xf borderId="0" fillId="0" fontId="16" numFmtId="0" xfId="0" applyAlignment="1" applyFont="1">
      <alignment horizont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3">
    <tableStyle count="3" pivot="0" name="Regression-style">
      <tableStyleElement dxfId="1" type="headerRow"/>
      <tableStyleElement dxfId="2" type="firstRowStripe"/>
      <tableStyleElement dxfId="3" type="secondRowStripe"/>
    </tableStyle>
    <tableStyle count="3" pivot="0" name="Dataset-style">
      <tableStyleElement dxfId="1" type="headerRow"/>
      <tableStyleElement dxfId="2" type="firstRowStripe"/>
      <tableStyleElement dxfId="3" type="secondRowStripe"/>
    </tableStyle>
    <tableStyle count="3" pivot="0" name="Profit_Analysi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Product Category Sales Comparison</a:t>
            </a:r>
          </a:p>
        </c:rich>
      </c:tx>
      <c:overlay val="0"/>
    </c:title>
    <c:plotArea>
      <c:layout/>
      <c:barChart>
        <c:barDir val="col"/>
        <c:ser>
          <c:idx val="0"/>
          <c:order val="0"/>
          <c:tx>
            <c:v>Total</c:v>
          </c:tx>
          <c:spPr>
            <a:solidFill>
              <a:schemeClr val="accent1"/>
            </a:solidFill>
            <a:ln cmpd="sng">
              <a:solidFill>
                <a:srgbClr val="000000"/>
              </a:solidFill>
            </a:ln>
          </c:spPr>
          <c:dPt>
            <c:idx val="0"/>
            <c:spPr>
              <a:solidFill>
                <a:srgbClr val="92D050"/>
              </a:solidFill>
              <a:ln cmpd="sng">
                <a:solidFill>
                  <a:srgbClr val="000000"/>
                </a:solidFill>
              </a:ln>
            </c:spPr>
          </c:dPt>
          <c:dLbls>
            <c:numFmt formatCode="General" sourceLinked="1"/>
            <c:txPr>
              <a:bodyPr/>
              <a:lstStyle/>
              <a:p>
                <a:pPr lvl="0">
                  <a:defRPr b="0" i="0" sz="900">
                    <a:latin typeface="+mn-lt"/>
                  </a:defRPr>
                </a:pPr>
              </a:p>
            </c:txPr>
            <c:showLegendKey val="0"/>
            <c:showVal val="1"/>
            <c:showCatName val="0"/>
            <c:showSerName val="0"/>
            <c:showPercent val="0"/>
            <c:showBubbleSize val="0"/>
          </c:dLbls>
          <c:cat>
            <c:strRef>
              <c:f>'Product Performance'!$A$3:$A$8</c:f>
            </c:strRef>
          </c:cat>
          <c:val>
            <c:numRef>
              <c:f>'Product Performance'!$B$3:$B$8</c:f>
              <c:numCache/>
            </c:numRef>
          </c:val>
        </c:ser>
        <c:axId val="626883873"/>
        <c:axId val="326854390"/>
      </c:barChart>
      <c:catAx>
        <c:axId val="6268838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326854390"/>
      </c:catAx>
      <c:valAx>
        <c:axId val="32685439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26883873"/>
      </c:valAx>
    </c:plotArea>
    <c:legend>
      <c:legendPos val="r"/>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Regional Sales Contribution</a:t>
            </a:r>
          </a:p>
        </c:rich>
      </c:tx>
      <c:overlay val="0"/>
    </c:title>
    <c:plotArea>
      <c:layout/>
      <c:pieChart>
        <c:varyColors val="1"/>
        <c:ser>
          <c:idx val="0"/>
          <c:order val="0"/>
          <c:tx>
            <c:strRef>
              <c:f>Pivot_Region!$B$2</c:f>
            </c:strRef>
          </c:tx>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Pt>
            <c:idx val="5"/>
            <c:spPr>
              <a:solidFill>
                <a:srgbClr val="F79646"/>
              </a:solidFill>
            </c:spPr>
          </c:dPt>
          <c:dLbls>
            <c:showLegendKey val="0"/>
            <c:showVal val="0"/>
            <c:showCatName val="0"/>
            <c:showSerName val="0"/>
            <c:showPercent val="1"/>
            <c:showBubbleSize val="0"/>
            <c:showLeaderLines val="1"/>
          </c:dLbls>
          <c:cat>
            <c:strRef>
              <c:f>Pivot_Region!$A$3:$A$8</c:f>
            </c:strRef>
          </c:cat>
          <c:val>
            <c:numRef>
              <c:f>Pivot_Region!$B$3:$B$8</c:f>
              <c:numCache/>
            </c:numRef>
          </c:val>
        </c:ser>
        <c:dLbls>
          <c:showLegendKey val="0"/>
          <c:showVal val="0"/>
          <c:showCatName val="0"/>
          <c:showSerName val="0"/>
          <c:showPercent val="0"/>
          <c:showBubbleSize val="0"/>
        </c:dLbls>
        <c:firstSliceAng val="0"/>
      </c:pieChart>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Monthly Sales Trend Analysis</a:t>
            </a:r>
          </a:p>
        </c:rich>
      </c:tx>
      <c:overlay val="0"/>
    </c:title>
    <c:plotArea>
      <c:layout/>
      <c:lineChart>
        <c:varyColors val="0"/>
        <c:ser>
          <c:idx val="0"/>
          <c:order val="0"/>
          <c:tx>
            <c:v>Total</c:v>
          </c:tx>
          <c:spPr>
            <a:ln cmpd="sng" w="28575">
              <a:solidFill>
                <a:schemeClr val="accent1"/>
              </a:solidFill>
            </a:ln>
          </c:spPr>
          <c:marker>
            <c:symbol val="circle"/>
            <c:size val="5"/>
            <c:spPr>
              <a:solidFill>
                <a:schemeClr val="accent1"/>
              </a:solidFill>
              <a:ln cmpd="sng">
                <a:solidFill>
                  <a:schemeClr val="accent1"/>
                </a:solidFill>
              </a:ln>
            </c:spPr>
          </c:marker>
          <c:cat>
            <c:strRef>
              <c:f>'Monthly Sales Trend'!$A$3:$A$18</c:f>
            </c:strRef>
          </c:cat>
          <c:val>
            <c:numRef>
              <c:f>'Monthly Sales Trend'!$B$3:$B$18</c:f>
              <c:numCache/>
            </c:numRef>
          </c:val>
          <c:smooth val="0"/>
        </c:ser>
        <c:axId val="1823612578"/>
        <c:axId val="415004777"/>
      </c:lineChart>
      <c:catAx>
        <c:axId val="18236125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415004777"/>
      </c:catAx>
      <c:valAx>
        <c:axId val="41500477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823612578"/>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Region-wise Product Category Analysis</a:t>
            </a:r>
          </a:p>
        </c:rich>
      </c:tx>
      <c:overlay val="0"/>
    </c:title>
    <c:plotArea>
      <c:layout/>
      <c:barChart>
        <c:barDir val="col"/>
        <c:ser>
          <c:idx val="0"/>
          <c:order val="0"/>
          <c:tx>
            <c:v>Books</c:v>
          </c:tx>
          <c:spPr>
            <a:solidFill>
              <a:schemeClr val="accent1"/>
            </a:solidFill>
            <a:ln cmpd="sng">
              <a:solidFill>
                <a:srgbClr val="000000"/>
              </a:solidFill>
            </a:ln>
          </c:spPr>
          <c:cat>
            <c:strRef>
              <c:f>Region_Wise_Product_Analysis!$A$4:$A$9</c:f>
            </c:strRef>
          </c:cat>
          <c:val>
            <c:numRef>
              <c:f>Region_Wise_Product_Analysis!$B$4:$B$9</c:f>
              <c:numCache/>
            </c:numRef>
          </c:val>
        </c:ser>
        <c:ser>
          <c:idx val="1"/>
          <c:order val="1"/>
          <c:tx>
            <c:v>Clothing</c:v>
          </c:tx>
          <c:spPr>
            <a:solidFill>
              <a:schemeClr val="accent2"/>
            </a:solidFill>
            <a:ln cmpd="sng">
              <a:solidFill>
                <a:srgbClr val="000000"/>
              </a:solidFill>
            </a:ln>
          </c:spPr>
          <c:cat>
            <c:strRef>
              <c:f>Region_Wise_Product_Analysis!$A$4:$A$9</c:f>
            </c:strRef>
          </c:cat>
          <c:val>
            <c:numRef>
              <c:f>Region_Wise_Product_Analysis!$C$4:$C$9</c:f>
              <c:numCache/>
            </c:numRef>
          </c:val>
        </c:ser>
        <c:ser>
          <c:idx val="2"/>
          <c:order val="2"/>
          <c:tx>
            <c:v>Electronics</c:v>
          </c:tx>
          <c:spPr>
            <a:solidFill>
              <a:schemeClr val="accent3"/>
            </a:solidFill>
            <a:ln cmpd="sng">
              <a:solidFill>
                <a:srgbClr val="000000"/>
              </a:solidFill>
            </a:ln>
          </c:spPr>
          <c:cat>
            <c:strRef>
              <c:f>Region_Wise_Product_Analysis!$A$4:$A$9</c:f>
            </c:strRef>
          </c:cat>
          <c:val>
            <c:numRef>
              <c:f>Region_Wise_Product_Analysis!$D$4:$D$9</c:f>
              <c:numCache/>
            </c:numRef>
          </c:val>
        </c:ser>
        <c:ser>
          <c:idx val="3"/>
          <c:order val="3"/>
          <c:tx>
            <c:v>Furniture</c:v>
          </c:tx>
          <c:spPr>
            <a:solidFill>
              <a:schemeClr val="accent4"/>
            </a:solidFill>
            <a:ln cmpd="sng">
              <a:solidFill>
                <a:srgbClr val="000000"/>
              </a:solidFill>
            </a:ln>
          </c:spPr>
          <c:cat>
            <c:strRef>
              <c:f>Region_Wise_Product_Analysis!$A$4:$A$9</c:f>
            </c:strRef>
          </c:cat>
          <c:val>
            <c:numRef>
              <c:f>Region_Wise_Product_Analysis!$E$4:$E$9</c:f>
              <c:numCache/>
            </c:numRef>
          </c:val>
        </c:ser>
        <c:ser>
          <c:idx val="4"/>
          <c:order val="4"/>
          <c:tx>
            <c:v>Office Supplies</c:v>
          </c:tx>
          <c:spPr>
            <a:solidFill>
              <a:schemeClr val="accent5"/>
            </a:solidFill>
            <a:ln cmpd="sng">
              <a:solidFill>
                <a:srgbClr val="000000"/>
              </a:solidFill>
            </a:ln>
          </c:spPr>
          <c:cat>
            <c:strRef>
              <c:f>Region_Wise_Product_Analysis!$A$4:$A$9</c:f>
            </c:strRef>
          </c:cat>
          <c:val>
            <c:numRef>
              <c:f>Region_Wise_Product_Analysis!$F$4:$F$9</c:f>
              <c:numCache/>
            </c:numRef>
          </c:val>
        </c:ser>
        <c:axId val="1836518780"/>
        <c:axId val="959096626"/>
      </c:barChart>
      <c:catAx>
        <c:axId val="18365187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959096626"/>
      </c:catAx>
      <c:valAx>
        <c:axId val="9590966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900">
                <a:solidFill>
                  <a:srgbClr val="000000"/>
                </a:solidFill>
                <a:latin typeface="+mn-lt"/>
              </a:defRPr>
            </a:pPr>
          </a:p>
        </c:txPr>
        <c:crossAx val="1836518780"/>
      </c:valAx>
    </c:plotArea>
    <c:legend>
      <c:legendPos val="b"/>
      <c:layout>
        <c:manualLayout>
          <c:xMode val="edge"/>
          <c:yMode val="edge"/>
          <c:x val="0.21140296347998053"/>
          <c:y val="0.9220387283571013"/>
        </c:manualLayout>
      </c:layout>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Region-wise Product Category Analysis</a:t>
            </a:r>
          </a:p>
        </c:rich>
      </c:tx>
      <c:overlay val="0"/>
    </c:title>
    <c:plotArea>
      <c:layout/>
      <c:barChart>
        <c:barDir val="col"/>
        <c:ser>
          <c:idx val="0"/>
          <c:order val="0"/>
          <c:tx>
            <c:v>Books</c:v>
          </c:tx>
          <c:spPr>
            <a:solidFill>
              <a:schemeClr val="accent1"/>
            </a:solidFill>
            <a:ln cmpd="sng">
              <a:solidFill>
                <a:srgbClr val="000000"/>
              </a:solidFill>
            </a:ln>
          </c:spPr>
          <c:cat>
            <c:strRef>
              <c:f>Region_Wise_Product_Analysis!$A$4:$A$9</c:f>
            </c:strRef>
          </c:cat>
          <c:val>
            <c:numRef>
              <c:f>Region_Wise_Product_Analysis!$B$4:$B$9</c:f>
              <c:numCache/>
            </c:numRef>
          </c:val>
        </c:ser>
        <c:ser>
          <c:idx val="1"/>
          <c:order val="1"/>
          <c:tx>
            <c:v>Clothing</c:v>
          </c:tx>
          <c:spPr>
            <a:solidFill>
              <a:schemeClr val="accent2"/>
            </a:solidFill>
            <a:ln cmpd="sng">
              <a:solidFill>
                <a:srgbClr val="000000"/>
              </a:solidFill>
            </a:ln>
          </c:spPr>
          <c:cat>
            <c:strRef>
              <c:f>Region_Wise_Product_Analysis!$A$4:$A$9</c:f>
            </c:strRef>
          </c:cat>
          <c:val>
            <c:numRef>
              <c:f>Region_Wise_Product_Analysis!$C$4:$C$9</c:f>
              <c:numCache/>
            </c:numRef>
          </c:val>
        </c:ser>
        <c:ser>
          <c:idx val="2"/>
          <c:order val="2"/>
          <c:tx>
            <c:v>Electronics</c:v>
          </c:tx>
          <c:spPr>
            <a:solidFill>
              <a:schemeClr val="accent3"/>
            </a:solidFill>
            <a:ln cmpd="sng">
              <a:solidFill>
                <a:srgbClr val="000000"/>
              </a:solidFill>
            </a:ln>
          </c:spPr>
          <c:cat>
            <c:strRef>
              <c:f>Region_Wise_Product_Analysis!$A$4:$A$9</c:f>
            </c:strRef>
          </c:cat>
          <c:val>
            <c:numRef>
              <c:f>Region_Wise_Product_Analysis!$D$4:$D$9</c:f>
              <c:numCache/>
            </c:numRef>
          </c:val>
        </c:ser>
        <c:ser>
          <c:idx val="3"/>
          <c:order val="3"/>
          <c:tx>
            <c:v>Furniture</c:v>
          </c:tx>
          <c:spPr>
            <a:solidFill>
              <a:schemeClr val="accent4"/>
            </a:solidFill>
            <a:ln cmpd="sng">
              <a:solidFill>
                <a:srgbClr val="000000"/>
              </a:solidFill>
            </a:ln>
          </c:spPr>
          <c:cat>
            <c:strRef>
              <c:f>Region_Wise_Product_Analysis!$A$4:$A$9</c:f>
            </c:strRef>
          </c:cat>
          <c:val>
            <c:numRef>
              <c:f>Region_Wise_Product_Analysis!$E$4:$E$9</c:f>
              <c:numCache/>
            </c:numRef>
          </c:val>
        </c:ser>
        <c:ser>
          <c:idx val="4"/>
          <c:order val="4"/>
          <c:tx>
            <c:v>Office Supplies</c:v>
          </c:tx>
          <c:spPr>
            <a:solidFill>
              <a:schemeClr val="accent5"/>
            </a:solidFill>
            <a:ln cmpd="sng">
              <a:solidFill>
                <a:srgbClr val="000000"/>
              </a:solidFill>
            </a:ln>
          </c:spPr>
          <c:cat>
            <c:strRef>
              <c:f>Region_Wise_Product_Analysis!$A$4:$A$9</c:f>
            </c:strRef>
          </c:cat>
          <c:val>
            <c:numRef>
              <c:f>Region_Wise_Product_Analysis!$F$4:$F$9</c:f>
              <c:numCache/>
            </c:numRef>
          </c:val>
        </c:ser>
        <c:axId val="1500149387"/>
        <c:axId val="228812817"/>
      </c:barChart>
      <c:catAx>
        <c:axId val="1500149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228812817"/>
      </c:catAx>
      <c:valAx>
        <c:axId val="22881281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900">
                <a:solidFill>
                  <a:srgbClr val="000000"/>
                </a:solidFill>
                <a:latin typeface="+mn-lt"/>
              </a:defRPr>
            </a:pPr>
          </a:p>
        </c:txPr>
        <c:crossAx val="1500149387"/>
      </c:valAx>
    </c:plotArea>
    <c:legend>
      <c:legendPos val="b"/>
      <c:layout>
        <c:manualLayout>
          <c:xMode val="edge"/>
          <c:yMode val="edge"/>
          <c:x val="0.21140296347998053"/>
          <c:y val="0.9220387283571013"/>
        </c:manualLayout>
      </c:layout>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Regional Sales Contribution</a:t>
            </a:r>
          </a:p>
        </c:rich>
      </c:tx>
      <c:overlay val="0"/>
    </c:title>
    <c:plotArea>
      <c:layout/>
      <c:pieChart>
        <c:varyColors val="1"/>
        <c:ser>
          <c:idx val="0"/>
          <c:order val="0"/>
          <c:tx>
            <c:strRef>
              <c:f>Pivot_Region!$B$2</c:f>
            </c:strRef>
          </c:tx>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Pt>
            <c:idx val="5"/>
            <c:spPr>
              <a:solidFill>
                <a:srgbClr val="F79646"/>
              </a:solidFill>
            </c:spPr>
          </c:dPt>
          <c:dLbls>
            <c:showLegendKey val="0"/>
            <c:showVal val="0"/>
            <c:showCatName val="0"/>
            <c:showSerName val="0"/>
            <c:showPercent val="1"/>
            <c:showBubbleSize val="0"/>
            <c:showLeaderLines val="1"/>
          </c:dLbls>
          <c:cat>
            <c:strRef>
              <c:f>Pivot_Region!$A$3:$A$8</c:f>
            </c:strRef>
          </c:cat>
          <c:val>
            <c:numRef>
              <c:f>Pivot_Region!$B$3:$B$8</c:f>
              <c:numCache/>
            </c:numRef>
          </c:val>
        </c:ser>
        <c:dLbls>
          <c:showLegendKey val="0"/>
          <c:showVal val="0"/>
          <c:showCatName val="0"/>
          <c:showSerName val="0"/>
          <c:showPercent val="0"/>
          <c:showBubbleSize val="0"/>
        </c:dLbls>
        <c:firstSliceAng val="0"/>
      </c:pieChart>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Monthly Sales Trend Analysis</a:t>
            </a:r>
          </a:p>
        </c:rich>
      </c:tx>
      <c:overlay val="0"/>
    </c:title>
    <c:plotArea>
      <c:layout/>
      <c:lineChart>
        <c:varyColors val="0"/>
        <c:ser>
          <c:idx val="0"/>
          <c:order val="0"/>
          <c:tx>
            <c:v>Total</c:v>
          </c:tx>
          <c:spPr>
            <a:ln cmpd="sng" w="28575">
              <a:solidFill>
                <a:schemeClr val="accent1"/>
              </a:solidFill>
            </a:ln>
          </c:spPr>
          <c:marker>
            <c:symbol val="circle"/>
            <c:size val="5"/>
            <c:spPr>
              <a:solidFill>
                <a:schemeClr val="accent1"/>
              </a:solidFill>
              <a:ln cmpd="sng">
                <a:solidFill>
                  <a:schemeClr val="accent1"/>
                </a:solidFill>
              </a:ln>
            </c:spPr>
          </c:marker>
          <c:cat>
            <c:strRef>
              <c:f>'Monthly Sales Trend'!$A$3:$A$18</c:f>
            </c:strRef>
          </c:cat>
          <c:val>
            <c:numRef>
              <c:f>'Monthly Sales Trend'!$B$3:$B$18</c:f>
              <c:numCache/>
            </c:numRef>
          </c:val>
          <c:smooth val="0"/>
        </c:ser>
        <c:axId val="549318072"/>
        <c:axId val="1866314197"/>
      </c:lineChart>
      <c:catAx>
        <c:axId val="5493180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66314197"/>
      </c:catAx>
      <c:valAx>
        <c:axId val="186631419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49318072"/>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Product Category Sales Comparison</a:t>
            </a:r>
          </a:p>
        </c:rich>
      </c:tx>
      <c:overlay val="0"/>
    </c:title>
    <c:plotArea>
      <c:layout/>
      <c:barChart>
        <c:barDir val="col"/>
        <c:ser>
          <c:idx val="0"/>
          <c:order val="0"/>
          <c:tx>
            <c:v>Total</c:v>
          </c:tx>
          <c:spPr>
            <a:solidFill>
              <a:schemeClr val="accent1"/>
            </a:solidFill>
            <a:ln cmpd="sng">
              <a:solidFill>
                <a:srgbClr val="000000"/>
              </a:solidFill>
            </a:ln>
          </c:spPr>
          <c:dPt>
            <c:idx val="0"/>
            <c:spPr>
              <a:solidFill>
                <a:srgbClr val="92D050"/>
              </a:solidFill>
              <a:ln cmpd="sng">
                <a:solidFill>
                  <a:srgbClr val="000000"/>
                </a:solidFill>
              </a:ln>
            </c:spPr>
          </c:dPt>
          <c:dLbls>
            <c:numFmt formatCode="General" sourceLinked="1"/>
            <c:txPr>
              <a:bodyPr/>
              <a:lstStyle/>
              <a:p>
                <a:pPr lvl="0">
                  <a:defRPr b="0" i="0" sz="900">
                    <a:latin typeface="+mn-lt"/>
                  </a:defRPr>
                </a:pPr>
              </a:p>
            </c:txPr>
            <c:showLegendKey val="0"/>
            <c:showVal val="1"/>
            <c:showCatName val="0"/>
            <c:showSerName val="0"/>
            <c:showPercent val="0"/>
            <c:showBubbleSize val="0"/>
          </c:dLbls>
          <c:cat>
            <c:strRef>
              <c:f>'Product Performance'!$A$3:$A$8</c:f>
            </c:strRef>
          </c:cat>
          <c:val>
            <c:numRef>
              <c:f>'Product Performance'!$B$3:$B$8</c:f>
              <c:numCache/>
            </c:numRef>
          </c:val>
        </c:ser>
        <c:axId val="652892252"/>
        <c:axId val="914580071"/>
      </c:barChart>
      <c:catAx>
        <c:axId val="6528922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914580071"/>
      </c:catAx>
      <c:valAx>
        <c:axId val="9145800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52892252"/>
      </c:valAx>
    </c:plotArea>
    <c:legend>
      <c:legendPos val="r"/>
      <c:overlay val="0"/>
      <c:txPr>
        <a:bodyPr/>
        <a:lstStyle/>
        <a:p>
          <a:pPr lvl="0">
            <a:defRPr b="0" i="0" sz="90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10</xdr:row>
      <xdr:rowOff>95250</xdr:rowOff>
    </xdr:from>
    <xdr:ext cx="5248275" cy="2914650"/>
    <xdr:graphicFrame>
      <xdr:nvGraphicFramePr>
        <xdr:cNvPr id="37013573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285750</xdr:colOff>
      <xdr:row>10</xdr:row>
      <xdr:rowOff>95250</xdr:rowOff>
    </xdr:from>
    <xdr:ext cx="4848225" cy="2914650"/>
    <xdr:graphicFrame>
      <xdr:nvGraphicFramePr>
        <xdr:cNvPr id="1992296853"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171450</xdr:colOff>
      <xdr:row>27</xdr:row>
      <xdr:rowOff>85725</xdr:rowOff>
    </xdr:from>
    <xdr:ext cx="5257800" cy="2143125"/>
    <xdr:graphicFrame>
      <xdr:nvGraphicFramePr>
        <xdr:cNvPr id="707839434"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295275</xdr:colOff>
      <xdr:row>27</xdr:row>
      <xdr:rowOff>57150</xdr:rowOff>
    </xdr:from>
    <xdr:ext cx="4838700" cy="2181225"/>
    <xdr:graphicFrame>
      <xdr:nvGraphicFramePr>
        <xdr:cNvPr id="112087140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285750</xdr:colOff>
      <xdr:row>7</xdr:row>
      <xdr:rowOff>114300</xdr:rowOff>
    </xdr:from>
    <xdr:ext cx="1057275" cy="381000"/>
    <xdr:sp>
      <xdr:nvSpPr>
        <xdr:cNvPr id="3" name="Shape 3"/>
        <xdr:cNvSpPr/>
      </xdr:nvSpPr>
      <xdr:spPr>
        <a:xfrm>
          <a:off x="4822125" y="3594263"/>
          <a:ext cx="1047750" cy="371475"/>
        </a:xfrm>
        <a:prstGeom prst="roundRect">
          <a:avLst>
            <a:gd fmla="val 16667" name="adj"/>
          </a:avLst>
        </a:prstGeom>
        <a:solidFill>
          <a:srgbClr val="92D050"/>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lang="en-US" sz="1400"/>
            <a:t> </a:t>
          </a:r>
          <a:endParaRPr b="1" sz="1100">
            <a:solidFill>
              <a:schemeClr val="lt1"/>
            </a:solidFill>
          </a:endParaRPr>
        </a:p>
      </xdr:txBody>
    </xdr:sp>
    <xdr:clientData fLocksWithSheet="0"/>
  </xdr:oneCellAnchor>
  <xdr:oneCellAnchor>
    <xdr:from>
      <xdr:col>9</xdr:col>
      <xdr:colOff>419100</xdr:colOff>
      <xdr:row>7</xdr:row>
      <xdr:rowOff>114300</xdr:rowOff>
    </xdr:from>
    <xdr:ext cx="1047750" cy="381000"/>
    <xdr:sp>
      <xdr:nvSpPr>
        <xdr:cNvPr id="4" name="Shape 4"/>
        <xdr:cNvSpPr/>
      </xdr:nvSpPr>
      <xdr:spPr>
        <a:xfrm>
          <a:off x="4826888" y="3594263"/>
          <a:ext cx="1038225" cy="371475"/>
        </a:xfrm>
        <a:prstGeom prst="roundRect">
          <a:avLst>
            <a:gd fmla="val 16667" name="adj"/>
          </a:avLst>
        </a:prstGeom>
        <a:solidFill>
          <a:srgbClr val="FFC000"/>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lang="en-US" sz="1400"/>
            <a:t> </a:t>
          </a:r>
          <a:endParaRPr b="1" sz="1100">
            <a:solidFill>
              <a:schemeClr val="lt1"/>
            </a:solidFill>
          </a:endParaRPr>
        </a:p>
      </xdr:txBody>
    </xdr:sp>
    <xdr:clientData fLocksWithSheet="0"/>
  </xdr:oneCellAnchor>
  <xdr:oneCellAnchor>
    <xdr:from>
      <xdr:col>7</xdr:col>
      <xdr:colOff>304800</xdr:colOff>
      <xdr:row>6</xdr:row>
      <xdr:rowOff>47625</xdr:rowOff>
    </xdr:from>
    <xdr:ext cx="1028700" cy="180975"/>
    <xdr:sp>
      <xdr:nvSpPr>
        <xdr:cNvPr id="5" name="Shape 5"/>
        <xdr:cNvSpPr txBox="1"/>
      </xdr:nvSpPr>
      <xdr:spPr>
        <a:xfrm>
          <a:off x="4836413" y="3694275"/>
          <a:ext cx="1019175" cy="17145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TOTAL</a:t>
          </a:r>
          <a:r>
            <a:rPr b="1" lang="en-US" sz="1100">
              <a:solidFill>
                <a:schemeClr val="dk1"/>
              </a:solidFill>
              <a:latin typeface="Calibri"/>
              <a:ea typeface="Calibri"/>
              <a:cs typeface="Calibri"/>
              <a:sym typeface="Calibri"/>
            </a:rPr>
            <a:t> SALES</a:t>
          </a:r>
          <a:endParaRPr b="1" sz="1100"/>
        </a:p>
        <a:p>
          <a:pPr indent="0" lvl="0" marL="0" rtl="0" algn="ctr">
            <a:spcBef>
              <a:spcPts val="0"/>
            </a:spcBef>
            <a:spcAft>
              <a:spcPts val="0"/>
            </a:spcAft>
            <a:buNone/>
          </a:pPr>
          <a:r>
            <a:t/>
          </a:r>
          <a:endParaRPr sz="1100"/>
        </a:p>
        <a:p>
          <a:pPr indent="0" lvl="0" marL="0" rtl="0" algn="ctr">
            <a:spcBef>
              <a:spcPts val="0"/>
            </a:spcBef>
            <a:spcAft>
              <a:spcPts val="0"/>
            </a:spcAft>
            <a:buNone/>
          </a:pPr>
          <a:r>
            <a:t/>
          </a:r>
          <a:endParaRPr sz="1100"/>
        </a:p>
      </xdr:txBody>
    </xdr:sp>
    <xdr:clientData fLocksWithSheet="0"/>
  </xdr:oneCellAnchor>
  <xdr:oneCellAnchor>
    <xdr:from>
      <xdr:col>11</xdr:col>
      <xdr:colOff>542925</xdr:colOff>
      <xdr:row>7</xdr:row>
      <xdr:rowOff>114300</xdr:rowOff>
    </xdr:from>
    <xdr:ext cx="1057275" cy="381000"/>
    <xdr:sp>
      <xdr:nvSpPr>
        <xdr:cNvPr id="6" name="Shape 6"/>
        <xdr:cNvSpPr/>
      </xdr:nvSpPr>
      <xdr:spPr>
        <a:xfrm>
          <a:off x="4822125" y="3594263"/>
          <a:ext cx="1047750" cy="371475"/>
        </a:xfrm>
        <a:prstGeom prst="roundRect">
          <a:avLst>
            <a:gd fmla="val 16667" name="adj"/>
          </a:avLst>
        </a:prstGeom>
        <a:solidFill>
          <a:srgbClr val="00B0F0"/>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lang="en-US" sz="1400"/>
            <a:t> </a:t>
          </a:r>
          <a:endParaRPr b="1" sz="1100">
            <a:solidFill>
              <a:schemeClr val="lt1"/>
            </a:solidFill>
          </a:endParaRPr>
        </a:p>
      </xdr:txBody>
    </xdr:sp>
    <xdr:clientData fLocksWithSheet="0"/>
  </xdr:oneCellAnchor>
  <xdr:oneCellAnchor>
    <xdr:from>
      <xdr:col>14</xdr:col>
      <xdr:colOff>57150</xdr:colOff>
      <xdr:row>7</xdr:row>
      <xdr:rowOff>114300</xdr:rowOff>
    </xdr:from>
    <xdr:ext cx="1076325" cy="381000"/>
    <xdr:sp>
      <xdr:nvSpPr>
        <xdr:cNvPr id="7" name="Shape 7"/>
        <xdr:cNvSpPr/>
      </xdr:nvSpPr>
      <xdr:spPr>
        <a:xfrm>
          <a:off x="4812600" y="3594263"/>
          <a:ext cx="1066800" cy="371475"/>
        </a:xfrm>
        <a:prstGeom prst="roundRect">
          <a:avLst>
            <a:gd fmla="val 16667" name="adj"/>
          </a:avLst>
        </a:prstGeom>
        <a:solidFill>
          <a:srgbClr val="0070C0"/>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t> </a:t>
          </a:r>
          <a:endParaRPr b="1" sz="1100">
            <a:solidFill>
              <a:schemeClr val="lt1"/>
            </a:solidFill>
          </a:endParaRPr>
        </a:p>
      </xdr:txBody>
    </xdr:sp>
    <xdr:clientData fLocksWithSheet="0"/>
  </xdr:oneCellAnchor>
  <xdr:oneCellAnchor>
    <xdr:from>
      <xdr:col>9</xdr:col>
      <xdr:colOff>495300</xdr:colOff>
      <xdr:row>6</xdr:row>
      <xdr:rowOff>19050</xdr:rowOff>
    </xdr:from>
    <xdr:ext cx="952500" cy="238125"/>
    <xdr:sp>
      <xdr:nvSpPr>
        <xdr:cNvPr id="8" name="Shape 8"/>
        <xdr:cNvSpPr txBox="1"/>
      </xdr:nvSpPr>
      <xdr:spPr>
        <a:xfrm>
          <a:off x="4874513" y="3665700"/>
          <a:ext cx="942975" cy="2286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BEST REGION</a:t>
          </a:r>
          <a:endParaRPr b="1" sz="1100"/>
        </a:p>
        <a:p>
          <a:pPr indent="0" lvl="0" marL="0" rtl="0" algn="ctr">
            <a:spcBef>
              <a:spcPts val="0"/>
            </a:spcBef>
            <a:spcAft>
              <a:spcPts val="0"/>
            </a:spcAft>
            <a:buNone/>
          </a:pPr>
          <a:r>
            <a:t/>
          </a:r>
          <a:endParaRPr b="1" sz="1100"/>
        </a:p>
        <a:p>
          <a:pPr indent="0" lvl="0" marL="0" rtl="0" algn="ctr">
            <a:spcBef>
              <a:spcPts val="0"/>
            </a:spcBef>
            <a:spcAft>
              <a:spcPts val="0"/>
            </a:spcAft>
            <a:buNone/>
          </a:pPr>
          <a:r>
            <a:t/>
          </a:r>
          <a:endParaRPr b="1" sz="1100"/>
        </a:p>
      </xdr:txBody>
    </xdr:sp>
    <xdr:clientData fLocksWithSheet="0"/>
  </xdr:oneCellAnchor>
  <xdr:oneCellAnchor>
    <xdr:from>
      <xdr:col>11</xdr:col>
      <xdr:colOff>514350</xdr:colOff>
      <xdr:row>6</xdr:row>
      <xdr:rowOff>19050</xdr:rowOff>
    </xdr:from>
    <xdr:ext cx="1114425" cy="247650"/>
    <xdr:sp>
      <xdr:nvSpPr>
        <xdr:cNvPr id="9" name="Shape 9"/>
        <xdr:cNvSpPr txBox="1"/>
      </xdr:nvSpPr>
      <xdr:spPr>
        <a:xfrm>
          <a:off x="4793550" y="3660938"/>
          <a:ext cx="1104900" cy="2381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BEST PRODUCT</a:t>
          </a:r>
          <a:endParaRPr b="1" sz="1100"/>
        </a:p>
        <a:p>
          <a:pPr indent="0" lvl="0" marL="0" rtl="0" algn="ctr">
            <a:spcBef>
              <a:spcPts val="0"/>
            </a:spcBef>
            <a:spcAft>
              <a:spcPts val="0"/>
            </a:spcAft>
            <a:buNone/>
          </a:pPr>
          <a:r>
            <a:t/>
          </a:r>
          <a:endParaRPr sz="1100"/>
        </a:p>
        <a:p>
          <a:pPr indent="0" lvl="0" marL="0" rtl="0" algn="ctr">
            <a:spcBef>
              <a:spcPts val="0"/>
            </a:spcBef>
            <a:spcAft>
              <a:spcPts val="0"/>
            </a:spcAft>
            <a:buNone/>
          </a:pPr>
          <a:r>
            <a:t/>
          </a:r>
          <a:endParaRPr sz="1100"/>
        </a:p>
      </xdr:txBody>
    </xdr:sp>
    <xdr:clientData fLocksWithSheet="0"/>
  </xdr:oneCellAnchor>
  <xdr:oneCellAnchor>
    <xdr:from>
      <xdr:col>14</xdr:col>
      <xdr:colOff>190500</xdr:colOff>
      <xdr:row>6</xdr:row>
      <xdr:rowOff>9525</xdr:rowOff>
    </xdr:from>
    <xdr:ext cx="1009650" cy="228600"/>
    <xdr:sp>
      <xdr:nvSpPr>
        <xdr:cNvPr id="10" name="Shape 10"/>
        <xdr:cNvSpPr txBox="1"/>
      </xdr:nvSpPr>
      <xdr:spPr>
        <a:xfrm>
          <a:off x="4845938" y="3670463"/>
          <a:ext cx="1000125" cy="21907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TOP SALES</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oneCellAnchor>
    <xdr:from>
      <xdr:col>17</xdr:col>
      <xdr:colOff>409575</xdr:colOff>
      <xdr:row>3</xdr:row>
      <xdr:rowOff>0</xdr:rowOff>
    </xdr:from>
    <xdr:ext cx="3086100" cy="1333500"/>
    <xdr:sp>
      <xdr:nvSpPr>
        <xdr:cNvPr id="11" name="Shape 11"/>
        <xdr:cNvSpPr/>
      </xdr:nvSpPr>
      <xdr:spPr>
        <a:xfrm>
          <a:off x="3807713" y="3118013"/>
          <a:ext cx="3076575" cy="1323975"/>
        </a:xfrm>
        <a:prstGeom prst="rect">
          <a:avLst/>
        </a:prstGeom>
        <a:solidFill>
          <a:srgbClr val="FFFFFF"/>
        </a:solidFill>
        <a:ln cap="flat" cmpd="sng" w="9525">
          <a:solidFill>
            <a:srgbClr val="008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t>Timeline: Works in Excel 2013 or higher. Do not move or resize.</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600075</xdr:colOff>
      <xdr:row>7</xdr:row>
      <xdr:rowOff>9525</xdr:rowOff>
    </xdr:from>
    <xdr:ext cx="5219700" cy="3257550"/>
    <xdr:graphicFrame>
      <xdr:nvGraphicFramePr>
        <xdr:cNvPr id="1693562132"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600075</xdr:colOff>
      <xdr:row>7</xdr:row>
      <xdr:rowOff>171450</xdr:rowOff>
    </xdr:from>
    <xdr:ext cx="5810250" cy="3790950"/>
    <xdr:graphicFrame>
      <xdr:nvGraphicFramePr>
        <xdr:cNvPr id="1292595938"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4</xdr:row>
      <xdr:rowOff>161925</xdr:rowOff>
    </xdr:from>
    <xdr:ext cx="5219700" cy="3105150"/>
    <xdr:graphicFrame>
      <xdr:nvGraphicFramePr>
        <xdr:cNvPr id="1416332566"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5</xdr:row>
      <xdr:rowOff>161925</xdr:rowOff>
    </xdr:from>
    <xdr:ext cx="5229225" cy="2924175"/>
    <xdr:graphicFrame>
      <xdr:nvGraphicFramePr>
        <xdr:cNvPr id="1771630244" name="Chart 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B8" displayName="Table_1" name="Table_1" id="1">
  <tableColumns count="2">
    <tableColumn name="Regression Statistics" id="1"/>
    <tableColumn name="Column1" id="2"/>
  </tableColumns>
  <tableStyleInfo name="Regression-style" showColumnStripes="0" showFirstColumn="1" showLastColumn="1" showRowStripes="1"/>
</table>
</file>

<file path=xl/tables/table2.xml><?xml version="1.0" encoding="utf-8"?>
<table xmlns="http://schemas.openxmlformats.org/spreadsheetml/2006/main" ref="A1:L201" displayName="Table_2" name="Table_2" id="2">
  <tableColumns count="12">
    <tableColumn name="Customer_ID" id="1"/>
    <tableColumn name="Customer_Name" id="2"/>
    <tableColumn name="Region" id="3"/>
    <tableColumn name="Product_Category" id="4"/>
    <tableColumn name="Sales" id="5"/>
    <tableColumn name="Quantity" id="6"/>
    <tableColumn name="Discount" id="7"/>
    <tableColumn name="Order_Date" id="8"/>
    <tableColumn name="Profit" id="9"/>
    <tableColumn name="Total Customer Sales" id="10"/>
    <tableColumn name="Month" id="11"/>
    <tableColumn name="Timestamp" id="12"/>
  </tableColumns>
  <tableStyleInfo name="Dataset-style" showColumnStripes="0" showFirstColumn="1" showLastColumn="1" showRowStripes="1"/>
</table>
</file>

<file path=xl/tables/table3.xml><?xml version="1.0" encoding="utf-8"?>
<table xmlns="http://schemas.openxmlformats.org/spreadsheetml/2006/main" ref="A1:B4" displayName="Table_3" name="Table_3" id="3">
  <tableColumns count="2">
    <tableColumn name="Matrics" id="1"/>
    <tableColumn name="Amount" id="2"/>
  </tableColumns>
  <tableStyleInfo name="Profit_Analys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86"/>
    <col customWidth="1" min="2" max="21"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8.86"/>
    <col customWidth="1" min="7" max="19" width="8.71"/>
    <col customWidth="1" min="20" max="20" width="8.86"/>
    <col customWidth="1" min="21" max="27" width="8.71"/>
  </cols>
  <sheetData>
    <row r="1" ht="14.25" customHeight="1">
      <c r="A1" s="4"/>
      <c r="B1" s="4"/>
      <c r="C1" s="4"/>
      <c r="D1" s="4"/>
      <c r="E1" s="4"/>
      <c r="F1" s="4"/>
      <c r="G1" s="4"/>
      <c r="H1" s="4"/>
      <c r="I1" s="4"/>
      <c r="J1" s="4"/>
      <c r="K1" s="4"/>
      <c r="L1" s="4"/>
      <c r="M1" s="4"/>
      <c r="N1" s="4"/>
      <c r="O1" s="4"/>
      <c r="P1" s="4"/>
      <c r="Q1" s="4"/>
      <c r="R1" s="4"/>
      <c r="S1" s="4"/>
      <c r="T1" s="4"/>
      <c r="U1" s="4"/>
      <c r="V1" s="5"/>
      <c r="W1" s="5"/>
    </row>
    <row r="2" ht="14.25" customHeight="1">
      <c r="A2" s="6"/>
      <c r="B2" s="4"/>
      <c r="C2" s="4"/>
      <c r="D2" s="4"/>
      <c r="E2" s="4"/>
      <c r="F2" s="4"/>
      <c r="G2" s="4"/>
      <c r="H2" s="4"/>
      <c r="I2" s="4"/>
      <c r="J2" s="4"/>
      <c r="K2" s="4"/>
      <c r="L2" s="4"/>
      <c r="M2" s="4"/>
      <c r="N2" s="4"/>
      <c r="O2" s="4"/>
      <c r="P2" s="4"/>
      <c r="Q2" s="4"/>
      <c r="R2" s="4"/>
      <c r="S2" s="4"/>
      <c r="T2" s="4"/>
      <c r="U2" s="4"/>
      <c r="V2" s="5"/>
      <c r="W2" s="5"/>
    </row>
    <row r="3" ht="14.25" customHeight="1">
      <c r="A3" s="4"/>
      <c r="B3" s="4"/>
      <c r="C3" s="4"/>
      <c r="D3" s="4"/>
      <c r="E3" s="4"/>
      <c r="F3" s="4"/>
      <c r="G3" s="4"/>
      <c r="H3" s="4"/>
      <c r="I3" s="4"/>
      <c r="J3" s="4"/>
      <c r="K3" s="4"/>
      <c r="L3" s="4"/>
      <c r="M3" s="4"/>
      <c r="N3" s="4"/>
      <c r="O3" s="4"/>
      <c r="P3" s="4"/>
      <c r="Q3" s="4"/>
      <c r="R3" s="4"/>
      <c r="S3" s="4"/>
      <c r="T3" s="4"/>
      <c r="U3" s="4"/>
      <c r="V3" s="5"/>
      <c r="W3" s="5"/>
    </row>
    <row r="4" ht="14.25" customHeight="1">
      <c r="A4" s="7" t="s">
        <v>2</v>
      </c>
      <c r="B4" s="8"/>
      <c r="C4" s="8"/>
      <c r="D4" s="8"/>
      <c r="E4" s="8"/>
      <c r="F4" s="8"/>
      <c r="G4" s="8"/>
      <c r="H4" s="8"/>
      <c r="I4" s="8"/>
      <c r="J4" s="8"/>
      <c r="K4" s="8"/>
      <c r="L4" s="8"/>
      <c r="M4" s="8"/>
      <c r="N4" s="8"/>
      <c r="O4" s="8"/>
      <c r="P4" s="8"/>
      <c r="Q4" s="8"/>
      <c r="R4" s="8"/>
      <c r="S4" s="8"/>
      <c r="T4" s="8"/>
      <c r="U4" s="9"/>
      <c r="V4" s="10"/>
      <c r="W4" s="11"/>
    </row>
    <row r="5" ht="14.25" customHeight="1">
      <c r="A5" s="12"/>
      <c r="U5" s="13"/>
      <c r="V5" s="14"/>
      <c r="W5" s="11"/>
    </row>
    <row r="6" ht="14.25" customHeight="1">
      <c r="A6" s="15"/>
      <c r="B6" s="16"/>
      <c r="C6" s="16"/>
      <c r="D6" s="16"/>
      <c r="E6" s="16"/>
      <c r="F6" s="16"/>
      <c r="G6" s="16"/>
      <c r="H6" s="16"/>
      <c r="I6" s="16"/>
      <c r="J6" s="16"/>
      <c r="K6" s="16"/>
      <c r="L6" s="16"/>
      <c r="M6" s="16"/>
      <c r="N6" s="16"/>
      <c r="O6" s="16"/>
      <c r="P6" s="16"/>
      <c r="Q6" s="16"/>
      <c r="R6" s="16"/>
      <c r="S6" s="16"/>
      <c r="T6" s="16"/>
      <c r="U6" s="17"/>
      <c r="V6" s="14"/>
      <c r="W6" s="11"/>
    </row>
    <row r="7" ht="14.25" customHeight="1">
      <c r="A7" s="18"/>
      <c r="B7" s="8"/>
      <c r="C7" s="9"/>
      <c r="D7" s="19"/>
      <c r="V7" s="14"/>
      <c r="W7" s="11"/>
    </row>
    <row r="8" ht="14.25" customHeight="1">
      <c r="A8" s="12"/>
      <c r="C8" s="13"/>
      <c r="V8" s="14"/>
      <c r="W8" s="11"/>
    </row>
    <row r="9" ht="14.25" customHeight="1">
      <c r="A9" s="12"/>
      <c r="C9" s="13"/>
      <c r="V9" s="14"/>
      <c r="W9" s="11"/>
    </row>
    <row r="10" ht="14.25" customHeight="1">
      <c r="A10" s="12"/>
      <c r="C10" s="13"/>
      <c r="V10" s="14"/>
      <c r="W10" s="11"/>
    </row>
    <row r="11" ht="14.25" customHeight="1">
      <c r="A11" s="12"/>
      <c r="C11" s="13"/>
      <c r="V11" s="14"/>
      <c r="W11" s="11"/>
    </row>
    <row r="12" ht="14.25" customHeight="1">
      <c r="A12" s="12"/>
      <c r="C12" s="13"/>
      <c r="V12" s="14"/>
      <c r="W12" s="11"/>
    </row>
    <row r="13" ht="14.25" customHeight="1">
      <c r="A13" s="12"/>
      <c r="C13" s="13"/>
      <c r="V13" s="14"/>
      <c r="W13" s="11"/>
    </row>
    <row r="14" ht="14.25" customHeight="1">
      <c r="A14" s="12"/>
      <c r="C14" s="13"/>
      <c r="V14" s="14"/>
      <c r="W14" s="11"/>
    </row>
    <row r="15" ht="14.25" customHeight="1">
      <c r="A15" s="12"/>
      <c r="C15" s="13"/>
      <c r="V15" s="14"/>
      <c r="W15" s="11"/>
    </row>
    <row r="16" ht="14.25" customHeight="1">
      <c r="A16" s="12"/>
      <c r="C16" s="13"/>
      <c r="V16" s="14"/>
      <c r="W16" s="11"/>
    </row>
    <row r="17" ht="14.25" customHeight="1">
      <c r="A17" s="12"/>
      <c r="C17" s="13"/>
      <c r="V17" s="14"/>
      <c r="W17" s="11"/>
    </row>
    <row r="18" ht="14.25" customHeight="1">
      <c r="A18" s="12"/>
      <c r="C18" s="13"/>
      <c r="V18" s="14"/>
      <c r="W18" s="11"/>
    </row>
    <row r="19" ht="14.25" customHeight="1">
      <c r="A19" s="12"/>
      <c r="C19" s="13"/>
      <c r="V19" s="14"/>
      <c r="W19" s="11"/>
    </row>
    <row r="20" ht="14.25" customHeight="1">
      <c r="A20" s="12"/>
      <c r="C20" s="13"/>
      <c r="V20" s="14"/>
      <c r="W20" s="11"/>
    </row>
    <row r="21" ht="14.25" customHeight="1">
      <c r="A21" s="12"/>
      <c r="C21" s="13"/>
      <c r="V21" s="14"/>
      <c r="W21" s="11"/>
    </row>
    <row r="22" ht="14.25" customHeight="1">
      <c r="A22" s="12"/>
      <c r="C22" s="13"/>
      <c r="V22" s="14"/>
      <c r="W22" s="11"/>
    </row>
    <row r="23" ht="14.25" customHeight="1">
      <c r="A23" s="12"/>
      <c r="C23" s="13"/>
      <c r="V23" s="14"/>
      <c r="W23" s="11"/>
    </row>
    <row r="24" ht="14.25" customHeight="1">
      <c r="A24" s="12"/>
      <c r="C24" s="13"/>
      <c r="V24" s="14"/>
      <c r="W24" s="11"/>
    </row>
    <row r="25" ht="14.25" customHeight="1">
      <c r="A25" s="12"/>
      <c r="C25" s="13"/>
      <c r="V25" s="14"/>
      <c r="W25" s="11"/>
    </row>
    <row r="26" ht="14.25" customHeight="1">
      <c r="A26" s="12"/>
      <c r="C26" s="13"/>
      <c r="V26" s="14"/>
      <c r="W26" s="11"/>
    </row>
    <row r="27" ht="14.25" customHeight="1">
      <c r="A27" s="12"/>
      <c r="C27" s="13"/>
      <c r="V27" s="14"/>
      <c r="W27" s="11"/>
    </row>
    <row r="28" ht="14.25" customHeight="1">
      <c r="A28" s="12"/>
      <c r="C28" s="13"/>
      <c r="V28" s="14"/>
      <c r="W28" s="11"/>
    </row>
    <row r="29" ht="14.25" customHeight="1">
      <c r="A29" s="12"/>
      <c r="C29" s="13"/>
      <c r="V29" s="14"/>
      <c r="W29" s="11"/>
    </row>
    <row r="30" ht="14.25" customHeight="1">
      <c r="A30" s="12"/>
      <c r="C30" s="13"/>
      <c r="V30" s="14"/>
      <c r="W30" s="11"/>
    </row>
    <row r="31" ht="14.25" customHeight="1">
      <c r="A31" s="12"/>
      <c r="C31" s="13"/>
      <c r="V31" s="14"/>
      <c r="W31" s="11"/>
    </row>
    <row r="32" ht="14.25" customHeight="1">
      <c r="A32" s="12"/>
      <c r="C32" s="13"/>
      <c r="V32" s="14"/>
      <c r="W32" s="11"/>
    </row>
    <row r="33" ht="14.25" customHeight="1">
      <c r="A33" s="12"/>
      <c r="C33" s="13"/>
      <c r="V33" s="14"/>
      <c r="W33" s="11"/>
    </row>
    <row r="34" ht="14.25" customHeight="1">
      <c r="A34" s="12"/>
      <c r="C34" s="13"/>
      <c r="V34" s="14"/>
      <c r="W34" s="11"/>
    </row>
    <row r="35" ht="14.25" customHeight="1">
      <c r="A35" s="12"/>
      <c r="C35" s="13"/>
      <c r="V35" s="14"/>
      <c r="W35" s="11"/>
    </row>
    <row r="36" ht="14.25" customHeight="1">
      <c r="A36" s="12"/>
      <c r="C36" s="13"/>
      <c r="V36" s="14"/>
      <c r="W36" s="11"/>
    </row>
    <row r="37" ht="14.25" customHeight="1">
      <c r="A37" s="12"/>
      <c r="C37" s="13"/>
      <c r="V37" s="14"/>
      <c r="W37" s="11"/>
    </row>
    <row r="38" ht="14.25" customHeight="1">
      <c r="A38" s="12"/>
      <c r="C38" s="13"/>
      <c r="V38" s="14"/>
      <c r="W38" s="11"/>
    </row>
    <row r="39" ht="14.25" customHeight="1">
      <c r="A39" s="12"/>
      <c r="C39" s="13"/>
      <c r="V39" s="14"/>
      <c r="W39" s="11"/>
    </row>
    <row r="40" ht="14.25" customHeight="1">
      <c r="A40" s="15"/>
      <c r="B40" s="16"/>
      <c r="C40" s="17"/>
      <c r="V40" s="20"/>
      <c r="W40" s="11"/>
    </row>
    <row r="41" ht="14.25" customHeight="1">
      <c r="A41" s="18"/>
      <c r="B41" s="8"/>
      <c r="C41" s="9"/>
      <c r="V41" s="21"/>
      <c r="W41" s="21"/>
    </row>
    <row r="42" ht="14.25" customHeight="1">
      <c r="A42" s="12"/>
      <c r="C42" s="13"/>
      <c r="V42" s="21"/>
      <c r="W42" s="21"/>
    </row>
    <row r="43" ht="14.25" customHeight="1">
      <c r="A43" s="12"/>
      <c r="C43" s="13"/>
      <c r="D43" s="22"/>
      <c r="E43" s="23"/>
      <c r="F43" s="23"/>
      <c r="G43" s="23"/>
      <c r="H43" s="23"/>
      <c r="I43" s="23"/>
      <c r="J43" s="23"/>
      <c r="K43" s="23"/>
      <c r="L43" s="23"/>
      <c r="M43" s="23"/>
      <c r="N43" s="23"/>
      <c r="O43" s="23"/>
      <c r="P43" s="23"/>
      <c r="Q43" s="23"/>
      <c r="R43" s="23"/>
      <c r="S43" s="23"/>
      <c r="T43" s="23"/>
      <c r="U43" s="24"/>
      <c r="V43" s="21"/>
      <c r="W43" s="21"/>
    </row>
    <row r="44" ht="14.25" customHeight="1">
      <c r="A44" s="12"/>
      <c r="C44" s="13"/>
      <c r="D44" s="18"/>
      <c r="E44" s="8"/>
      <c r="F44" s="8"/>
      <c r="G44" s="8"/>
      <c r="H44" s="8"/>
      <c r="I44" s="8"/>
      <c r="J44" s="8"/>
      <c r="K44" s="8"/>
      <c r="L44" s="8"/>
      <c r="M44" s="8"/>
      <c r="N44" s="8"/>
      <c r="O44" s="8"/>
      <c r="P44" s="8"/>
      <c r="Q44" s="8"/>
      <c r="R44" s="8"/>
      <c r="S44" s="8"/>
      <c r="T44" s="8"/>
      <c r="U44" s="9"/>
      <c r="V44" s="21"/>
      <c r="W44" s="21"/>
    </row>
    <row r="45" ht="14.25" customHeight="1">
      <c r="A45" s="15"/>
      <c r="B45" s="16"/>
      <c r="C45" s="17"/>
      <c r="D45" s="15"/>
      <c r="E45" s="16"/>
      <c r="F45" s="16"/>
      <c r="G45" s="16"/>
      <c r="H45" s="16"/>
      <c r="I45" s="16"/>
      <c r="J45" s="16"/>
      <c r="K45" s="16"/>
      <c r="L45" s="16"/>
      <c r="M45" s="16"/>
      <c r="N45" s="16"/>
      <c r="O45" s="16"/>
      <c r="P45" s="16"/>
      <c r="Q45" s="16"/>
      <c r="R45" s="16"/>
      <c r="S45" s="16"/>
      <c r="T45" s="16"/>
      <c r="U45" s="17"/>
      <c r="V45" s="21"/>
      <c r="W45" s="21"/>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7">
    <mergeCell ref="V4:V40"/>
    <mergeCell ref="D7:U42"/>
    <mergeCell ref="D43:U43"/>
    <mergeCell ref="D44:U45"/>
    <mergeCell ref="A4:U6"/>
    <mergeCell ref="A7:C40"/>
    <mergeCell ref="A41:C4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29"/>
    <col customWidth="1" min="3" max="26" width="8.71"/>
  </cols>
  <sheetData>
    <row r="1" ht="14.25" customHeight="1">
      <c r="A1" s="25" t="s">
        <v>3</v>
      </c>
      <c r="B1" s="25" t="str">
        <f>TEXT(Pivot_Region!B8,"₹ #,##0.00")</f>
        <v>₹ 195,217.76</v>
      </c>
    </row>
    <row r="2" ht="14.25" customHeight="1">
      <c r="A2" s="25" t="s">
        <v>4</v>
      </c>
      <c r="B2" s="25" t="str">
        <f t="array" ref="B2">INDEX(Pivot_Region!A3:A7,MATCH(MAX(Pivot_Region!B3:B7),Pivot_Region!B3:B7,0))</f>
        <v>West</v>
      </c>
    </row>
    <row r="3" ht="14.25" customHeight="1">
      <c r="A3" s="25" t="s">
        <v>5</v>
      </c>
      <c r="B3" s="25" t="str">
        <f t="array" ref="B3">INDEX('Product Performance'!A3:A7,MATCH(MAX('Product Performance'!B3:B7),'Product Performance'!B3:B7,0))</f>
        <v>Books</v>
      </c>
    </row>
    <row r="4" ht="14.25" customHeight="1">
      <c r="A4" s="25" t="s">
        <v>6</v>
      </c>
      <c r="B4" s="25" t="str">
        <f>TEXT(MAX('Product Performance'!B3:B7),"₹ #,##0.00")</f>
        <v>₹ 47,002.46</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2.71"/>
    <col customWidth="1" min="3" max="3" width="19.57"/>
    <col customWidth="1" min="4" max="6" width="8.86"/>
    <col customWidth="1" min="7" max="7" width="12.29"/>
    <col customWidth="1" min="8" max="8" width="8.86"/>
    <col customWidth="1" min="9" max="9" width="20.86"/>
    <col customWidth="1" min="10" max="26" width="8.71"/>
  </cols>
  <sheetData>
    <row r="1" ht="14.25" customHeight="1">
      <c r="A1" s="26" t="s">
        <v>7</v>
      </c>
      <c r="B1" s="27" t="s">
        <v>8</v>
      </c>
      <c r="C1" s="19"/>
      <c r="D1" s="19"/>
      <c r="E1" s="19"/>
      <c r="F1" s="19"/>
      <c r="G1" s="19"/>
      <c r="H1" s="19"/>
      <c r="I1" s="19"/>
      <c r="J1" s="19"/>
      <c r="K1" s="19"/>
      <c r="L1" s="19"/>
      <c r="M1" s="19"/>
      <c r="N1" s="19"/>
      <c r="O1" s="19"/>
      <c r="P1" s="19"/>
      <c r="Q1" s="19"/>
      <c r="R1" s="19"/>
      <c r="S1" s="19"/>
      <c r="T1" s="19"/>
      <c r="U1" s="19"/>
      <c r="V1" s="19"/>
      <c r="W1" s="19"/>
      <c r="X1" s="19"/>
      <c r="Y1" s="19"/>
      <c r="Z1" s="19"/>
    </row>
    <row r="2" ht="14.25" customHeight="1">
      <c r="A2" s="26" t="s">
        <v>3</v>
      </c>
      <c r="B2" s="28">
        <f t="array" ref="B2">INDEX(Dataset!J:J,MATCH(B1,Dataset!B:B,0))</f>
        <v>8331.85</v>
      </c>
      <c r="C2" s="19"/>
      <c r="D2" s="19"/>
      <c r="E2" s="19"/>
      <c r="F2" s="19"/>
      <c r="G2" s="19"/>
      <c r="H2" s="19"/>
      <c r="I2" s="19"/>
      <c r="J2" s="19"/>
      <c r="K2" s="19"/>
      <c r="L2" s="19"/>
      <c r="M2" s="19"/>
      <c r="N2" s="19"/>
      <c r="O2" s="19"/>
      <c r="P2" s="19"/>
      <c r="Q2" s="19"/>
      <c r="R2" s="19"/>
      <c r="S2" s="19"/>
      <c r="T2" s="19"/>
      <c r="U2" s="19"/>
      <c r="V2" s="19"/>
      <c r="W2" s="19"/>
      <c r="X2" s="19"/>
      <c r="Y2" s="19"/>
      <c r="Z2" s="19"/>
    </row>
    <row r="3" ht="14.25" customHeight="1">
      <c r="A3" s="19"/>
      <c r="B3" s="19"/>
      <c r="C3" s="19"/>
      <c r="D3" s="19"/>
      <c r="E3" s="19"/>
      <c r="F3" s="19"/>
      <c r="G3" s="19"/>
      <c r="H3" s="19"/>
      <c r="I3" s="19"/>
      <c r="J3" s="19"/>
      <c r="K3" s="19"/>
      <c r="L3" s="19"/>
      <c r="M3" s="19"/>
      <c r="N3" s="19"/>
      <c r="O3" s="19"/>
      <c r="P3" s="19"/>
      <c r="Q3" s="19"/>
      <c r="R3" s="19"/>
      <c r="S3" s="19"/>
      <c r="T3" s="19"/>
      <c r="U3" s="19"/>
      <c r="V3" s="19"/>
      <c r="W3" s="19"/>
      <c r="X3" s="19"/>
      <c r="Y3" s="19"/>
      <c r="Z3" s="19"/>
    </row>
    <row r="4" ht="14.25" customHeight="1">
      <c r="A4" s="19"/>
      <c r="B4" s="19"/>
      <c r="C4" s="19"/>
      <c r="D4" s="19"/>
      <c r="E4" s="19"/>
      <c r="F4" s="19"/>
      <c r="G4" s="19"/>
      <c r="H4" s="19"/>
      <c r="I4" s="19"/>
      <c r="J4" s="19"/>
      <c r="K4" s="19"/>
      <c r="L4" s="19"/>
      <c r="M4" s="19"/>
      <c r="N4" s="19"/>
      <c r="O4" s="19"/>
      <c r="P4" s="19"/>
      <c r="Q4" s="19"/>
      <c r="R4" s="19"/>
      <c r="S4" s="19"/>
      <c r="T4" s="19"/>
      <c r="U4" s="19"/>
      <c r="V4" s="19"/>
      <c r="W4" s="19"/>
      <c r="X4" s="19"/>
      <c r="Y4" s="19"/>
      <c r="Z4" s="19"/>
    </row>
    <row r="5" ht="14.25" customHeight="1">
      <c r="A5" s="19"/>
      <c r="B5" s="19"/>
      <c r="C5" s="19"/>
      <c r="D5" s="19"/>
      <c r="E5" s="19"/>
      <c r="F5" s="19"/>
      <c r="G5" s="19"/>
      <c r="H5" s="19"/>
      <c r="I5" s="19"/>
      <c r="J5" s="19"/>
      <c r="K5" s="19"/>
      <c r="L5" s="19"/>
      <c r="M5" s="19"/>
      <c r="N5" s="19"/>
      <c r="O5" s="19"/>
      <c r="P5" s="19"/>
      <c r="Q5" s="19"/>
      <c r="R5" s="19"/>
      <c r="S5" s="19"/>
      <c r="T5" s="19"/>
      <c r="U5" s="19"/>
      <c r="V5" s="19"/>
      <c r="W5" s="19"/>
      <c r="X5" s="19"/>
      <c r="Y5" s="19"/>
      <c r="Z5" s="19"/>
    </row>
    <row r="6" ht="14.25" customHeight="1">
      <c r="A6" s="29" t="s">
        <v>9</v>
      </c>
      <c r="B6" s="30"/>
      <c r="C6" s="30"/>
      <c r="D6" s="30"/>
      <c r="E6" s="30"/>
      <c r="F6" s="30"/>
      <c r="G6" s="30"/>
      <c r="H6" s="30"/>
      <c r="I6" s="31"/>
      <c r="J6" s="19"/>
      <c r="K6" s="19"/>
      <c r="L6" s="19"/>
      <c r="M6" s="19"/>
      <c r="N6" s="19"/>
      <c r="O6" s="19"/>
      <c r="P6" s="19"/>
      <c r="Q6" s="19"/>
      <c r="R6" s="19"/>
      <c r="S6" s="19"/>
      <c r="T6" s="19"/>
      <c r="U6" s="19"/>
      <c r="V6" s="19"/>
      <c r="W6" s="19"/>
      <c r="X6" s="19"/>
      <c r="Y6" s="19"/>
      <c r="Z6" s="19"/>
    </row>
    <row r="7" ht="14.25" customHeight="1">
      <c r="A7" s="32" t="str">
        <f t="array" ref="A7:I8">VSTACK(Dataset!B1:J1,_xlws.FILTER(Dataset!B2:J201,Dataset!J2:J201&gt;10000,"No High Value Customer"))</f>
        <v>Customer_Name</v>
      </c>
      <c r="B7" s="32" t="s">
        <v>10</v>
      </c>
      <c r="C7" s="32" t="s">
        <v>11</v>
      </c>
      <c r="D7" s="32" t="s">
        <v>12</v>
      </c>
      <c r="E7" s="32" t="s">
        <v>13</v>
      </c>
      <c r="F7" s="32" t="s">
        <v>14</v>
      </c>
      <c r="G7" s="32" t="s">
        <v>15</v>
      </c>
      <c r="H7" s="32" t="s">
        <v>16</v>
      </c>
      <c r="I7" s="32" t="s">
        <v>17</v>
      </c>
      <c r="J7" s="19"/>
      <c r="K7" s="19"/>
      <c r="L7" s="19"/>
      <c r="M7" s="19"/>
      <c r="N7" s="19"/>
      <c r="O7" s="19"/>
      <c r="P7" s="19"/>
      <c r="Q7" s="19"/>
      <c r="R7" s="19"/>
      <c r="S7" s="19"/>
      <c r="T7" s="19"/>
      <c r="U7" s="19"/>
      <c r="V7" s="19"/>
      <c r="W7" s="19"/>
      <c r="X7" s="19"/>
      <c r="Y7" s="19"/>
      <c r="Z7" s="19"/>
    </row>
    <row r="8" ht="14.25" customHeight="1">
      <c r="A8" s="33" t="e">
        <v>#NAME?</v>
      </c>
      <c r="B8" s="33" t="e">
        <v>#N/A</v>
      </c>
      <c r="C8" s="33" t="e">
        <v>#N/A</v>
      </c>
      <c r="D8" s="33" t="e">
        <v>#N/A</v>
      </c>
      <c r="E8" s="33" t="e">
        <v>#N/A</v>
      </c>
      <c r="F8" s="33" t="e">
        <v>#N/A</v>
      </c>
      <c r="G8" s="33" t="e">
        <v>#N/A</v>
      </c>
      <c r="H8" s="33" t="e">
        <v>#N/A</v>
      </c>
      <c r="I8" s="33" t="e">
        <v>#N/A</v>
      </c>
      <c r="J8" s="19"/>
      <c r="K8" s="19"/>
      <c r="L8" s="19"/>
      <c r="M8" s="19"/>
      <c r="N8" s="19"/>
      <c r="O8" s="19"/>
      <c r="P8" s="19"/>
      <c r="Q8" s="19"/>
      <c r="R8" s="19"/>
      <c r="S8" s="19"/>
      <c r="T8" s="19"/>
      <c r="U8" s="19"/>
      <c r="V8" s="19"/>
      <c r="W8" s="19"/>
      <c r="X8" s="19"/>
      <c r="Y8" s="19"/>
      <c r="Z8" s="19"/>
    </row>
    <row r="9" ht="14.25" customHeight="1">
      <c r="A9" s="33"/>
      <c r="B9" s="33"/>
      <c r="C9" s="33"/>
      <c r="D9" s="33"/>
      <c r="E9" s="33"/>
      <c r="F9" s="33"/>
      <c r="G9" s="33"/>
      <c r="H9" s="33"/>
      <c r="I9" s="33"/>
      <c r="J9" s="19"/>
      <c r="K9" s="19"/>
      <c r="L9" s="19"/>
      <c r="M9" s="19"/>
      <c r="N9" s="19"/>
      <c r="O9" s="19"/>
      <c r="P9" s="19"/>
      <c r="Q9" s="19"/>
      <c r="R9" s="19"/>
      <c r="S9" s="19"/>
      <c r="T9" s="19"/>
      <c r="U9" s="19"/>
      <c r="V9" s="19"/>
      <c r="W9" s="19"/>
      <c r="X9" s="19"/>
      <c r="Y9" s="19"/>
      <c r="Z9" s="19"/>
    </row>
    <row r="10" ht="14.25" customHeight="1">
      <c r="A10" s="33"/>
      <c r="B10" s="33"/>
      <c r="C10" s="33"/>
      <c r="D10" s="33"/>
      <c r="E10" s="33"/>
      <c r="F10" s="33"/>
      <c r="G10" s="33"/>
      <c r="H10" s="33"/>
      <c r="I10" s="33"/>
      <c r="J10" s="19"/>
      <c r="K10" s="19"/>
      <c r="L10" s="19"/>
      <c r="M10" s="19"/>
      <c r="N10" s="19"/>
      <c r="O10" s="19"/>
      <c r="P10" s="19"/>
      <c r="Q10" s="19"/>
      <c r="R10" s="19"/>
      <c r="S10" s="19"/>
      <c r="T10" s="19"/>
      <c r="U10" s="19"/>
      <c r="V10" s="19"/>
      <c r="W10" s="19"/>
      <c r="X10" s="19"/>
      <c r="Y10" s="19"/>
      <c r="Z10" s="19"/>
    </row>
    <row r="11" ht="14.25" customHeight="1">
      <c r="A11" s="33"/>
      <c r="B11" s="33"/>
      <c r="C11" s="33"/>
      <c r="D11" s="33"/>
      <c r="E11" s="33"/>
      <c r="F11" s="33"/>
      <c r="G11" s="33"/>
      <c r="H11" s="33"/>
      <c r="I11" s="33"/>
      <c r="J11" s="19"/>
      <c r="K11" s="19"/>
      <c r="L11" s="19"/>
      <c r="M11" s="19"/>
      <c r="N11" s="19"/>
      <c r="O11" s="19"/>
      <c r="P11" s="19"/>
      <c r="Q11" s="19"/>
      <c r="R11" s="19"/>
      <c r="S11" s="19"/>
      <c r="T11" s="19"/>
      <c r="U11" s="19"/>
      <c r="V11" s="19"/>
      <c r="W11" s="19"/>
      <c r="X11" s="19"/>
      <c r="Y11" s="19"/>
      <c r="Z11" s="19"/>
    </row>
    <row r="12" ht="14.25" customHeight="1">
      <c r="A12" s="33"/>
      <c r="B12" s="33"/>
      <c r="C12" s="33"/>
      <c r="D12" s="33"/>
      <c r="E12" s="33"/>
      <c r="F12" s="33"/>
      <c r="G12" s="33"/>
      <c r="H12" s="33"/>
      <c r="I12" s="33"/>
      <c r="J12" s="19"/>
      <c r="K12" s="19"/>
      <c r="L12" s="19"/>
      <c r="M12" s="19"/>
      <c r="N12" s="19"/>
      <c r="O12" s="19"/>
      <c r="P12" s="19"/>
      <c r="Q12" s="19"/>
      <c r="R12" s="19"/>
      <c r="S12" s="19"/>
      <c r="T12" s="19"/>
      <c r="U12" s="19"/>
      <c r="V12" s="19"/>
      <c r="W12" s="19"/>
      <c r="X12" s="19"/>
      <c r="Y12" s="19"/>
      <c r="Z12" s="19"/>
    </row>
    <row r="13" ht="14.25" customHeight="1">
      <c r="A13" s="33"/>
      <c r="B13" s="33"/>
      <c r="C13" s="33"/>
      <c r="D13" s="33"/>
      <c r="E13" s="33"/>
      <c r="F13" s="33"/>
      <c r="G13" s="33"/>
      <c r="H13" s="33"/>
      <c r="I13" s="33"/>
      <c r="J13" s="19"/>
      <c r="K13" s="19"/>
      <c r="L13" s="19"/>
      <c r="M13" s="19"/>
      <c r="N13" s="19"/>
      <c r="O13" s="19"/>
      <c r="P13" s="19"/>
      <c r="Q13" s="19"/>
      <c r="R13" s="19"/>
      <c r="S13" s="19"/>
      <c r="T13" s="19"/>
      <c r="U13" s="19"/>
      <c r="V13" s="19"/>
      <c r="W13" s="19"/>
      <c r="X13" s="19"/>
      <c r="Y13" s="19"/>
      <c r="Z13" s="19"/>
    </row>
    <row r="14" ht="14.25" customHeight="1">
      <c r="A14" s="33"/>
      <c r="B14" s="33"/>
      <c r="C14" s="33"/>
      <c r="D14" s="33"/>
      <c r="E14" s="33"/>
      <c r="F14" s="33"/>
      <c r="G14" s="33"/>
      <c r="H14" s="33"/>
      <c r="I14" s="33"/>
      <c r="J14" s="19"/>
      <c r="K14" s="19"/>
      <c r="L14" s="19"/>
      <c r="M14" s="19"/>
      <c r="N14" s="19"/>
      <c r="O14" s="19"/>
      <c r="P14" s="19"/>
      <c r="Q14" s="19"/>
      <c r="R14" s="19"/>
      <c r="S14" s="19"/>
      <c r="T14" s="19"/>
      <c r="U14" s="19"/>
      <c r="V14" s="19"/>
      <c r="W14" s="19"/>
      <c r="X14" s="19"/>
      <c r="Y14" s="19"/>
      <c r="Z14" s="19"/>
    </row>
    <row r="15" ht="14.25" customHeight="1">
      <c r="A15" s="33"/>
      <c r="B15" s="33"/>
      <c r="C15" s="33"/>
      <c r="D15" s="33"/>
      <c r="E15" s="33"/>
      <c r="F15" s="33"/>
      <c r="G15" s="33"/>
      <c r="H15" s="33"/>
      <c r="I15" s="33"/>
      <c r="J15" s="19"/>
      <c r="K15" s="19"/>
      <c r="L15" s="19"/>
      <c r="M15" s="19"/>
      <c r="N15" s="19"/>
      <c r="O15" s="19"/>
      <c r="P15" s="19"/>
      <c r="Q15" s="19"/>
      <c r="R15" s="19"/>
      <c r="S15" s="19"/>
      <c r="T15" s="19"/>
      <c r="U15" s="19"/>
      <c r="V15" s="19"/>
      <c r="W15" s="19"/>
      <c r="X15" s="19"/>
      <c r="Y15" s="19"/>
      <c r="Z15" s="19"/>
    </row>
    <row r="16" ht="14.25" customHeight="1">
      <c r="A16" s="33"/>
      <c r="B16" s="33"/>
      <c r="C16" s="33"/>
      <c r="D16" s="33"/>
      <c r="E16" s="33"/>
      <c r="F16" s="33"/>
      <c r="G16" s="33"/>
      <c r="H16" s="33"/>
      <c r="I16" s="33"/>
      <c r="J16" s="19"/>
      <c r="K16" s="19"/>
      <c r="L16" s="19"/>
      <c r="M16" s="19"/>
      <c r="N16" s="19"/>
      <c r="O16" s="19"/>
      <c r="P16" s="19"/>
      <c r="Q16" s="19"/>
      <c r="R16" s="19"/>
      <c r="S16" s="19"/>
      <c r="T16" s="19"/>
      <c r="U16" s="19"/>
      <c r="V16" s="19"/>
      <c r="W16" s="19"/>
      <c r="X16" s="19"/>
      <c r="Y16" s="19"/>
      <c r="Z16" s="19"/>
    </row>
    <row r="17" ht="14.25" customHeight="1">
      <c r="A17" s="33"/>
      <c r="B17" s="33"/>
      <c r="C17" s="33"/>
      <c r="D17" s="33"/>
      <c r="E17" s="33"/>
      <c r="F17" s="33"/>
      <c r="G17" s="33"/>
      <c r="H17" s="33"/>
      <c r="I17" s="33"/>
      <c r="J17" s="19"/>
      <c r="K17" s="19"/>
      <c r="L17" s="19"/>
      <c r="M17" s="19"/>
      <c r="N17" s="19"/>
      <c r="O17" s="19"/>
      <c r="P17" s="19"/>
      <c r="Q17" s="19"/>
      <c r="R17" s="19"/>
      <c r="S17" s="19"/>
      <c r="T17" s="19"/>
      <c r="U17" s="19"/>
      <c r="V17" s="19"/>
      <c r="W17" s="19"/>
      <c r="X17" s="19"/>
      <c r="Y17" s="19"/>
      <c r="Z17" s="19"/>
    </row>
    <row r="18" ht="14.25" customHeight="1">
      <c r="A18" s="33"/>
      <c r="B18" s="33"/>
      <c r="C18" s="33"/>
      <c r="D18" s="33"/>
      <c r="E18" s="33"/>
      <c r="F18" s="33"/>
      <c r="G18" s="33"/>
      <c r="H18" s="33"/>
      <c r="I18" s="33"/>
      <c r="J18" s="19"/>
      <c r="K18" s="19"/>
      <c r="L18" s="19"/>
      <c r="M18" s="19"/>
      <c r="N18" s="19"/>
      <c r="O18" s="19"/>
      <c r="P18" s="19"/>
      <c r="Q18" s="19"/>
      <c r="R18" s="19"/>
      <c r="S18" s="19"/>
      <c r="T18" s="19"/>
      <c r="U18" s="19"/>
      <c r="V18" s="19"/>
      <c r="W18" s="19"/>
      <c r="X18" s="19"/>
      <c r="Y18" s="19"/>
      <c r="Z18" s="19"/>
    </row>
    <row r="19" ht="14.25" customHeight="1">
      <c r="A19" s="33"/>
      <c r="B19" s="33"/>
      <c r="C19" s="33"/>
      <c r="D19" s="33"/>
      <c r="E19" s="33"/>
      <c r="F19" s="33"/>
      <c r="G19" s="33"/>
      <c r="H19" s="33"/>
      <c r="I19" s="33"/>
      <c r="J19" s="19"/>
      <c r="K19" s="19"/>
      <c r="L19" s="19"/>
      <c r="M19" s="19"/>
      <c r="N19" s="19"/>
      <c r="O19" s="19"/>
      <c r="P19" s="19"/>
      <c r="Q19" s="19"/>
      <c r="R19" s="19"/>
      <c r="S19" s="19"/>
      <c r="T19" s="19"/>
      <c r="U19" s="19"/>
      <c r="V19" s="19"/>
      <c r="W19" s="19"/>
      <c r="X19" s="19"/>
      <c r="Y19" s="19"/>
      <c r="Z19" s="19"/>
    </row>
    <row r="20" ht="14.25" customHeight="1">
      <c r="A20" s="33"/>
      <c r="B20" s="33"/>
      <c r="C20" s="33"/>
      <c r="D20" s="33"/>
      <c r="E20" s="33"/>
      <c r="F20" s="33"/>
      <c r="G20" s="33"/>
      <c r="H20" s="33"/>
      <c r="I20" s="33"/>
      <c r="J20" s="19"/>
      <c r="K20" s="19"/>
      <c r="L20" s="19"/>
      <c r="M20" s="19"/>
      <c r="N20" s="19"/>
      <c r="O20" s="19"/>
      <c r="P20" s="19"/>
      <c r="Q20" s="19"/>
      <c r="R20" s="19"/>
      <c r="S20" s="19"/>
      <c r="T20" s="19"/>
      <c r="U20" s="19"/>
      <c r="V20" s="19"/>
      <c r="W20" s="19"/>
      <c r="X20" s="19"/>
      <c r="Y20" s="19"/>
      <c r="Z20" s="19"/>
    </row>
    <row r="21" ht="14.25" customHeight="1">
      <c r="A21" s="33"/>
      <c r="B21" s="33"/>
      <c r="C21" s="33"/>
      <c r="D21" s="33"/>
      <c r="E21" s="33"/>
      <c r="F21" s="33"/>
      <c r="G21" s="33"/>
      <c r="H21" s="33"/>
      <c r="I21" s="33"/>
      <c r="J21" s="19"/>
      <c r="K21" s="19"/>
      <c r="L21" s="19"/>
      <c r="M21" s="19"/>
      <c r="N21" s="19"/>
      <c r="O21" s="19"/>
      <c r="P21" s="19"/>
      <c r="Q21" s="19"/>
      <c r="R21" s="19"/>
      <c r="S21" s="19"/>
      <c r="T21" s="19"/>
      <c r="U21" s="19"/>
      <c r="V21" s="19"/>
      <c r="W21" s="19"/>
      <c r="X21" s="19"/>
      <c r="Y21" s="19"/>
      <c r="Z21" s="19"/>
    </row>
    <row r="22" ht="14.25" customHeight="1">
      <c r="A22" s="33"/>
      <c r="B22" s="33"/>
      <c r="C22" s="33"/>
      <c r="D22" s="33"/>
      <c r="E22" s="33"/>
      <c r="F22" s="33"/>
      <c r="G22" s="33"/>
      <c r="H22" s="33"/>
      <c r="I22" s="33"/>
      <c r="J22" s="19"/>
      <c r="K22" s="19"/>
      <c r="L22" s="19"/>
      <c r="M22" s="19"/>
      <c r="N22" s="19"/>
      <c r="O22" s="19"/>
      <c r="P22" s="19"/>
      <c r="Q22" s="19"/>
      <c r="R22" s="19"/>
      <c r="S22" s="19"/>
      <c r="T22" s="19"/>
      <c r="U22" s="19"/>
      <c r="V22" s="19"/>
      <c r="W22" s="19"/>
      <c r="X22" s="19"/>
      <c r="Y22" s="19"/>
      <c r="Z22" s="19"/>
    </row>
    <row r="23" ht="14.25" customHeight="1">
      <c r="A23" s="33"/>
      <c r="B23" s="33"/>
      <c r="C23" s="33"/>
      <c r="D23" s="33"/>
      <c r="E23" s="33"/>
      <c r="F23" s="33"/>
      <c r="G23" s="33"/>
      <c r="H23" s="33"/>
      <c r="I23" s="33"/>
      <c r="J23" s="19"/>
      <c r="K23" s="19"/>
      <c r="L23" s="19"/>
      <c r="M23" s="19"/>
      <c r="N23" s="19"/>
      <c r="O23" s="19"/>
      <c r="P23" s="19"/>
      <c r="Q23" s="19"/>
      <c r="R23" s="19"/>
      <c r="S23" s="19"/>
      <c r="T23" s="19"/>
      <c r="U23" s="19"/>
      <c r="V23" s="19"/>
      <c r="W23" s="19"/>
      <c r="X23" s="19"/>
      <c r="Y23" s="19"/>
      <c r="Z23" s="19"/>
    </row>
    <row r="24" ht="14.25" customHeight="1">
      <c r="A24" s="33"/>
      <c r="B24" s="33"/>
      <c r="C24" s="33"/>
      <c r="D24" s="33"/>
      <c r="E24" s="33"/>
      <c r="F24" s="33"/>
      <c r="G24" s="33"/>
      <c r="H24" s="33"/>
      <c r="I24" s="33"/>
      <c r="J24" s="19"/>
      <c r="K24" s="19"/>
      <c r="L24" s="19"/>
      <c r="M24" s="19"/>
      <c r="N24" s="19"/>
      <c r="O24" s="19"/>
      <c r="P24" s="19"/>
      <c r="Q24" s="19"/>
      <c r="R24" s="19"/>
      <c r="S24" s="19"/>
      <c r="T24" s="19"/>
      <c r="U24" s="19"/>
      <c r="V24" s="19"/>
      <c r="W24" s="19"/>
      <c r="X24" s="19"/>
      <c r="Y24" s="19"/>
      <c r="Z24" s="19"/>
    </row>
    <row r="25" ht="14.25" customHeight="1">
      <c r="A25" s="33"/>
      <c r="B25" s="33"/>
      <c r="C25" s="33"/>
      <c r="D25" s="33"/>
      <c r="E25" s="33"/>
      <c r="F25" s="33"/>
      <c r="G25" s="33"/>
      <c r="H25" s="33"/>
      <c r="I25" s="33"/>
      <c r="J25" s="19"/>
      <c r="K25" s="19"/>
      <c r="L25" s="19"/>
      <c r="M25" s="19"/>
      <c r="N25" s="19"/>
      <c r="O25" s="19"/>
      <c r="P25" s="19"/>
      <c r="Q25" s="19"/>
      <c r="R25" s="19"/>
      <c r="S25" s="19"/>
      <c r="T25" s="19"/>
      <c r="U25" s="19"/>
      <c r="V25" s="19"/>
      <c r="W25" s="19"/>
      <c r="X25" s="19"/>
      <c r="Y25" s="19"/>
      <c r="Z25" s="19"/>
    </row>
    <row r="26" ht="14.25" customHeight="1">
      <c r="A26" s="33"/>
      <c r="B26" s="33"/>
      <c r="C26" s="33"/>
      <c r="D26" s="33"/>
      <c r="E26" s="33"/>
      <c r="F26" s="33"/>
      <c r="G26" s="33"/>
      <c r="H26" s="33"/>
      <c r="I26" s="33"/>
      <c r="J26" s="19"/>
      <c r="K26" s="19"/>
      <c r="L26" s="19"/>
      <c r="M26" s="19"/>
      <c r="N26" s="19"/>
      <c r="O26" s="19"/>
      <c r="P26" s="19"/>
      <c r="Q26" s="19"/>
      <c r="R26" s="19"/>
      <c r="S26" s="19"/>
      <c r="T26" s="19"/>
      <c r="U26" s="19"/>
      <c r="V26" s="19"/>
      <c r="W26" s="19"/>
      <c r="X26" s="19"/>
      <c r="Y26" s="19"/>
      <c r="Z26" s="19"/>
    </row>
    <row r="27" ht="14.25" customHeight="1">
      <c r="A27" s="33"/>
      <c r="B27" s="33"/>
      <c r="C27" s="33"/>
      <c r="D27" s="33"/>
      <c r="E27" s="33"/>
      <c r="F27" s="33"/>
      <c r="G27" s="33"/>
      <c r="H27" s="33"/>
      <c r="I27" s="33"/>
      <c r="J27" s="19"/>
      <c r="K27" s="19"/>
      <c r="L27" s="19"/>
      <c r="M27" s="19"/>
      <c r="N27" s="19"/>
      <c r="O27" s="19"/>
      <c r="P27" s="19"/>
      <c r="Q27" s="19"/>
      <c r="R27" s="19"/>
      <c r="S27" s="19"/>
      <c r="T27" s="19"/>
      <c r="U27" s="19"/>
      <c r="V27" s="19"/>
      <c r="W27" s="19"/>
      <c r="X27" s="19"/>
      <c r="Y27" s="19"/>
      <c r="Z27" s="19"/>
    </row>
    <row r="28" ht="14.25" customHeight="1">
      <c r="A28" s="33"/>
      <c r="B28" s="33"/>
      <c r="C28" s="33"/>
      <c r="D28" s="33"/>
      <c r="E28" s="33"/>
      <c r="F28" s="33"/>
      <c r="G28" s="33"/>
      <c r="H28" s="33"/>
      <c r="I28" s="33"/>
      <c r="J28" s="19"/>
      <c r="K28" s="19"/>
      <c r="L28" s="19"/>
      <c r="M28" s="19"/>
      <c r="N28" s="19"/>
      <c r="O28" s="19"/>
      <c r="P28" s="19"/>
      <c r="Q28" s="19"/>
      <c r="R28" s="19"/>
      <c r="S28" s="19"/>
      <c r="T28" s="19"/>
      <c r="U28" s="19"/>
      <c r="V28" s="19"/>
      <c r="W28" s="19"/>
      <c r="X28" s="19"/>
      <c r="Y28" s="19"/>
      <c r="Z28" s="19"/>
    </row>
    <row r="29" ht="14.25" customHeight="1">
      <c r="A29" s="33"/>
      <c r="B29" s="33"/>
      <c r="C29" s="33"/>
      <c r="D29" s="33"/>
      <c r="E29" s="33"/>
      <c r="F29" s="33"/>
      <c r="G29" s="33"/>
      <c r="H29" s="33"/>
      <c r="I29" s="33"/>
      <c r="J29" s="19"/>
      <c r="K29" s="19"/>
      <c r="L29" s="19"/>
      <c r="M29" s="19"/>
      <c r="N29" s="19"/>
      <c r="O29" s="19"/>
      <c r="P29" s="19"/>
      <c r="Q29" s="19"/>
      <c r="R29" s="19"/>
      <c r="S29" s="19"/>
      <c r="T29" s="19"/>
      <c r="U29" s="19"/>
      <c r="V29" s="19"/>
      <c r="W29" s="19"/>
      <c r="X29" s="19"/>
      <c r="Y29" s="19"/>
      <c r="Z29" s="19"/>
    </row>
    <row r="30" ht="14.25" customHeight="1">
      <c r="A30" s="33"/>
      <c r="B30" s="33"/>
      <c r="C30" s="33"/>
      <c r="D30" s="33"/>
      <c r="E30" s="33"/>
      <c r="F30" s="33"/>
      <c r="G30" s="33"/>
      <c r="H30" s="33"/>
      <c r="I30" s="33"/>
      <c r="J30" s="19"/>
      <c r="K30" s="19"/>
      <c r="L30" s="19"/>
      <c r="M30" s="19"/>
      <c r="N30" s="19"/>
      <c r="O30" s="19"/>
      <c r="P30" s="19"/>
      <c r="Q30" s="19"/>
      <c r="R30" s="19"/>
      <c r="S30" s="19"/>
      <c r="T30" s="19"/>
      <c r="U30" s="19"/>
      <c r="V30" s="19"/>
      <c r="W30" s="19"/>
      <c r="X30" s="19"/>
      <c r="Y30" s="19"/>
      <c r="Z30" s="19"/>
    </row>
    <row r="31" ht="14.25" customHeight="1">
      <c r="A31" s="33"/>
      <c r="B31" s="33"/>
      <c r="C31" s="33"/>
      <c r="D31" s="33"/>
      <c r="E31" s="33"/>
      <c r="F31" s="33"/>
      <c r="G31" s="33"/>
      <c r="H31" s="33"/>
      <c r="I31" s="33"/>
      <c r="J31" s="19"/>
      <c r="K31" s="19"/>
      <c r="L31" s="19"/>
      <c r="M31" s="19"/>
      <c r="N31" s="19"/>
      <c r="O31" s="19"/>
      <c r="P31" s="19"/>
      <c r="Q31" s="19"/>
      <c r="R31" s="19"/>
      <c r="S31" s="19"/>
      <c r="T31" s="19"/>
      <c r="U31" s="19"/>
      <c r="V31" s="19"/>
      <c r="W31" s="19"/>
      <c r="X31" s="19"/>
      <c r="Y31" s="19"/>
      <c r="Z31" s="19"/>
    </row>
    <row r="32" ht="14.25" customHeight="1">
      <c r="A32" s="33"/>
      <c r="B32" s="33"/>
      <c r="C32" s="33"/>
      <c r="D32" s="33"/>
      <c r="E32" s="33"/>
      <c r="F32" s="33"/>
      <c r="G32" s="33"/>
      <c r="H32" s="33"/>
      <c r="I32" s="33"/>
      <c r="J32" s="19"/>
      <c r="K32" s="19"/>
      <c r="L32" s="19"/>
      <c r="M32" s="19"/>
      <c r="N32" s="19"/>
      <c r="O32" s="19"/>
      <c r="P32" s="19"/>
      <c r="Q32" s="19"/>
      <c r="R32" s="19"/>
      <c r="S32" s="19"/>
      <c r="T32" s="19"/>
      <c r="U32" s="19"/>
      <c r="V32" s="19"/>
      <c r="W32" s="19"/>
      <c r="X32" s="19"/>
      <c r="Y32" s="19"/>
      <c r="Z32" s="19"/>
    </row>
    <row r="33" ht="14.25" customHeight="1">
      <c r="A33" s="33"/>
      <c r="B33" s="33"/>
      <c r="C33" s="33"/>
      <c r="D33" s="33"/>
      <c r="E33" s="33"/>
      <c r="F33" s="33"/>
      <c r="G33" s="33"/>
      <c r="H33" s="33"/>
      <c r="I33" s="33"/>
      <c r="J33" s="19"/>
      <c r="K33" s="19"/>
      <c r="L33" s="19"/>
      <c r="M33" s="19"/>
      <c r="N33" s="19"/>
      <c r="O33" s="19"/>
      <c r="P33" s="19"/>
      <c r="Q33" s="19"/>
      <c r="R33" s="19"/>
      <c r="S33" s="19"/>
      <c r="T33" s="19"/>
      <c r="U33" s="19"/>
      <c r="V33" s="19"/>
      <c r="W33" s="19"/>
      <c r="X33" s="19"/>
      <c r="Y33" s="19"/>
      <c r="Z33" s="19"/>
    </row>
    <row r="34" ht="14.25" customHeight="1">
      <c r="A34" s="33"/>
      <c r="B34" s="33"/>
      <c r="C34" s="33"/>
      <c r="D34" s="33"/>
      <c r="E34" s="33"/>
      <c r="F34" s="33"/>
      <c r="G34" s="33"/>
      <c r="H34" s="33"/>
      <c r="I34" s="33"/>
      <c r="J34" s="19"/>
      <c r="K34" s="19"/>
      <c r="L34" s="19"/>
      <c r="M34" s="19"/>
      <c r="N34" s="19"/>
      <c r="O34" s="19"/>
      <c r="P34" s="19"/>
      <c r="Q34" s="19"/>
      <c r="R34" s="19"/>
      <c r="S34" s="19"/>
      <c r="T34" s="19"/>
      <c r="U34" s="19"/>
      <c r="V34" s="19"/>
      <c r="W34" s="19"/>
      <c r="X34" s="19"/>
      <c r="Y34" s="19"/>
      <c r="Z34" s="19"/>
    </row>
    <row r="35" ht="14.25" customHeight="1">
      <c r="A35" s="33"/>
      <c r="B35" s="33"/>
      <c r="C35" s="33"/>
      <c r="D35" s="33"/>
      <c r="E35" s="33"/>
      <c r="F35" s="33"/>
      <c r="G35" s="33"/>
      <c r="H35" s="33"/>
      <c r="I35" s="33"/>
      <c r="J35" s="19"/>
      <c r="K35" s="19"/>
      <c r="L35" s="19"/>
      <c r="M35" s="19"/>
      <c r="N35" s="19"/>
      <c r="O35" s="19"/>
      <c r="P35" s="19"/>
      <c r="Q35" s="19"/>
      <c r="R35" s="19"/>
      <c r="S35" s="19"/>
      <c r="T35" s="19"/>
      <c r="U35" s="19"/>
      <c r="V35" s="19"/>
      <c r="W35" s="19"/>
      <c r="X35" s="19"/>
      <c r="Y35" s="19"/>
      <c r="Z35" s="19"/>
    </row>
    <row r="36" ht="14.25" customHeight="1">
      <c r="A36" s="33"/>
      <c r="B36" s="33"/>
      <c r="C36" s="33"/>
      <c r="D36" s="33"/>
      <c r="E36" s="33"/>
      <c r="F36" s="33"/>
      <c r="G36" s="33"/>
      <c r="H36" s="33"/>
      <c r="I36" s="33"/>
      <c r="J36" s="19"/>
      <c r="K36" s="19"/>
      <c r="L36" s="19"/>
      <c r="M36" s="19"/>
      <c r="N36" s="19"/>
      <c r="O36" s="19"/>
      <c r="P36" s="19"/>
      <c r="Q36" s="19"/>
      <c r="R36" s="19"/>
      <c r="S36" s="19"/>
      <c r="T36" s="19"/>
      <c r="U36" s="19"/>
      <c r="V36" s="19"/>
      <c r="W36" s="19"/>
      <c r="X36" s="19"/>
      <c r="Y36" s="19"/>
      <c r="Z36" s="19"/>
    </row>
    <row r="37" ht="14.25" customHeight="1">
      <c r="A37" s="33"/>
      <c r="B37" s="33"/>
      <c r="C37" s="33"/>
      <c r="D37" s="33"/>
      <c r="E37" s="33"/>
      <c r="F37" s="33"/>
      <c r="G37" s="33"/>
      <c r="H37" s="33"/>
      <c r="I37" s="33"/>
      <c r="J37" s="19"/>
      <c r="K37" s="19"/>
      <c r="L37" s="19"/>
      <c r="M37" s="19"/>
      <c r="N37" s="19"/>
      <c r="O37" s="19"/>
      <c r="P37" s="19"/>
      <c r="Q37" s="19"/>
      <c r="R37" s="19"/>
      <c r="S37" s="19"/>
      <c r="T37" s="19"/>
      <c r="U37" s="19"/>
      <c r="V37" s="19"/>
      <c r="W37" s="19"/>
      <c r="X37" s="19"/>
      <c r="Y37" s="19"/>
      <c r="Z37" s="19"/>
    </row>
    <row r="38" ht="14.25" customHeight="1">
      <c r="A38" s="33"/>
      <c r="B38" s="33"/>
      <c r="C38" s="33"/>
      <c r="D38" s="33"/>
      <c r="E38" s="33"/>
      <c r="F38" s="33"/>
      <c r="G38" s="33"/>
      <c r="H38" s="33"/>
      <c r="I38" s="33"/>
      <c r="J38" s="19"/>
      <c r="K38" s="19"/>
      <c r="L38" s="19"/>
      <c r="M38" s="19"/>
      <c r="N38" s="19"/>
      <c r="O38" s="19"/>
      <c r="P38" s="19"/>
      <c r="Q38" s="19"/>
      <c r="R38" s="19"/>
      <c r="S38" s="19"/>
      <c r="T38" s="19"/>
      <c r="U38" s="19"/>
      <c r="V38" s="19"/>
      <c r="W38" s="19"/>
      <c r="X38" s="19"/>
      <c r="Y38" s="19"/>
      <c r="Z38" s="19"/>
    </row>
    <row r="39" ht="14.25" customHeight="1">
      <c r="A39" s="33"/>
      <c r="B39" s="33"/>
      <c r="C39" s="33"/>
      <c r="D39" s="33"/>
      <c r="E39" s="33"/>
      <c r="F39" s="33"/>
      <c r="G39" s="33"/>
      <c r="H39" s="33"/>
      <c r="I39" s="33"/>
      <c r="J39" s="19"/>
      <c r="K39" s="19"/>
      <c r="L39" s="19"/>
      <c r="M39" s="19"/>
      <c r="N39" s="19"/>
      <c r="O39" s="19"/>
      <c r="P39" s="19"/>
      <c r="Q39" s="19"/>
      <c r="R39" s="19"/>
      <c r="S39" s="19"/>
      <c r="T39" s="19"/>
      <c r="U39" s="19"/>
      <c r="V39" s="19"/>
      <c r="W39" s="19"/>
      <c r="X39" s="19"/>
      <c r="Y39" s="19"/>
      <c r="Z39" s="19"/>
    </row>
    <row r="40" ht="14.25" customHeight="1">
      <c r="A40" s="33"/>
      <c r="B40" s="33"/>
      <c r="C40" s="33"/>
      <c r="D40" s="33"/>
      <c r="E40" s="33"/>
      <c r="F40" s="33"/>
      <c r="G40" s="33"/>
      <c r="H40" s="33"/>
      <c r="I40" s="33"/>
      <c r="J40" s="19"/>
      <c r="K40" s="19"/>
      <c r="L40" s="19"/>
      <c r="M40" s="19"/>
      <c r="N40" s="19"/>
      <c r="O40" s="19"/>
      <c r="P40" s="19"/>
      <c r="Q40" s="19"/>
      <c r="R40" s="19"/>
      <c r="S40" s="19"/>
      <c r="T40" s="19"/>
      <c r="U40" s="19"/>
      <c r="V40" s="19"/>
      <c r="W40" s="19"/>
      <c r="X40" s="19"/>
      <c r="Y40" s="19"/>
      <c r="Z40" s="19"/>
    </row>
    <row r="41" ht="14.25" customHeight="1">
      <c r="A41" s="33"/>
      <c r="B41" s="33"/>
      <c r="C41" s="33"/>
      <c r="D41" s="33"/>
      <c r="E41" s="33"/>
      <c r="F41" s="33"/>
      <c r="G41" s="33"/>
      <c r="H41" s="33"/>
      <c r="I41" s="33"/>
      <c r="J41" s="19"/>
      <c r="K41" s="19"/>
      <c r="L41" s="19"/>
      <c r="M41" s="19"/>
      <c r="N41" s="19"/>
      <c r="O41" s="19"/>
      <c r="P41" s="19"/>
      <c r="Q41" s="19"/>
      <c r="R41" s="19"/>
      <c r="S41" s="19"/>
      <c r="T41" s="19"/>
      <c r="U41" s="19"/>
      <c r="V41" s="19"/>
      <c r="W41" s="19"/>
      <c r="X41" s="19"/>
      <c r="Y41" s="19"/>
      <c r="Z41" s="19"/>
    </row>
    <row r="42" ht="14.25" customHeight="1">
      <c r="A42" s="33"/>
      <c r="B42" s="33"/>
      <c r="C42" s="33"/>
      <c r="D42" s="33"/>
      <c r="E42" s="33"/>
      <c r="F42" s="33"/>
      <c r="G42" s="33"/>
      <c r="H42" s="33"/>
      <c r="I42" s="33"/>
      <c r="J42" s="19"/>
      <c r="K42" s="19"/>
      <c r="L42" s="19"/>
      <c r="M42" s="19"/>
      <c r="N42" s="19"/>
      <c r="O42" s="19"/>
      <c r="P42" s="19"/>
      <c r="Q42" s="19"/>
      <c r="R42" s="19"/>
      <c r="S42" s="19"/>
      <c r="T42" s="19"/>
      <c r="U42" s="19"/>
      <c r="V42" s="19"/>
      <c r="W42" s="19"/>
      <c r="X42" s="19"/>
      <c r="Y42" s="19"/>
      <c r="Z42" s="19"/>
    </row>
    <row r="43" ht="14.25" customHeight="1">
      <c r="A43" s="33"/>
      <c r="B43" s="33"/>
      <c r="C43" s="33"/>
      <c r="D43" s="33"/>
      <c r="E43" s="33"/>
      <c r="F43" s="33"/>
      <c r="G43" s="33"/>
      <c r="H43" s="33"/>
      <c r="I43" s="33"/>
      <c r="J43" s="19"/>
      <c r="K43" s="19"/>
      <c r="L43" s="19"/>
      <c r="M43" s="19"/>
      <c r="N43" s="19"/>
      <c r="O43" s="19"/>
      <c r="P43" s="19"/>
      <c r="Q43" s="19"/>
      <c r="R43" s="19"/>
      <c r="S43" s="19"/>
      <c r="T43" s="19"/>
      <c r="U43" s="19"/>
      <c r="V43" s="19"/>
      <c r="W43" s="19"/>
      <c r="X43" s="19"/>
      <c r="Y43" s="19"/>
      <c r="Z43" s="19"/>
    </row>
    <row r="44" ht="14.25" customHeight="1">
      <c r="A44" s="33"/>
      <c r="B44" s="33"/>
      <c r="C44" s="33"/>
      <c r="D44" s="33"/>
      <c r="E44" s="33"/>
      <c r="F44" s="33"/>
      <c r="G44" s="33"/>
      <c r="H44" s="33"/>
      <c r="I44" s="33"/>
      <c r="J44" s="19"/>
      <c r="K44" s="19"/>
      <c r="L44" s="19"/>
      <c r="M44" s="19"/>
      <c r="N44" s="19"/>
      <c r="O44" s="19"/>
      <c r="P44" s="19"/>
      <c r="Q44" s="19"/>
      <c r="R44" s="19"/>
      <c r="S44" s="19"/>
      <c r="T44" s="19"/>
      <c r="U44" s="19"/>
      <c r="V44" s="19"/>
      <c r="W44" s="19"/>
      <c r="X44" s="19"/>
      <c r="Y44" s="19"/>
      <c r="Z44" s="19"/>
    </row>
    <row r="45" ht="14.25" customHeight="1">
      <c r="A45" s="33"/>
      <c r="B45" s="33"/>
      <c r="C45" s="33"/>
      <c r="D45" s="33"/>
      <c r="E45" s="33"/>
      <c r="F45" s="33"/>
      <c r="G45" s="33"/>
      <c r="H45" s="33"/>
      <c r="I45" s="33"/>
      <c r="J45" s="19"/>
      <c r="K45" s="19"/>
      <c r="L45" s="19"/>
      <c r="M45" s="19"/>
      <c r="N45" s="19"/>
      <c r="O45" s="19"/>
      <c r="P45" s="19"/>
      <c r="Q45" s="19"/>
      <c r="R45" s="19"/>
      <c r="S45" s="19"/>
      <c r="T45" s="19"/>
      <c r="U45" s="19"/>
      <c r="V45" s="19"/>
      <c r="W45" s="19"/>
      <c r="X45" s="19"/>
      <c r="Y45" s="19"/>
      <c r="Z45" s="19"/>
    </row>
    <row r="46" ht="14.25" customHeight="1">
      <c r="A46" s="33"/>
      <c r="B46" s="33"/>
      <c r="C46" s="33"/>
      <c r="D46" s="33"/>
      <c r="E46" s="33"/>
      <c r="F46" s="33"/>
      <c r="G46" s="33"/>
      <c r="H46" s="33"/>
      <c r="I46" s="33"/>
      <c r="J46" s="19"/>
      <c r="K46" s="19"/>
      <c r="L46" s="19"/>
      <c r="M46" s="19"/>
      <c r="N46" s="19"/>
      <c r="O46" s="19"/>
      <c r="P46" s="19"/>
      <c r="Q46" s="19"/>
      <c r="R46" s="19"/>
      <c r="S46" s="19"/>
      <c r="T46" s="19"/>
      <c r="U46" s="19"/>
      <c r="V46" s="19"/>
      <c r="W46" s="19"/>
      <c r="X46" s="19"/>
      <c r="Y46" s="19"/>
      <c r="Z46" s="19"/>
    </row>
    <row r="47" ht="14.25" customHeight="1">
      <c r="A47" s="33"/>
      <c r="B47" s="33"/>
      <c r="C47" s="33"/>
      <c r="D47" s="33"/>
      <c r="E47" s="33"/>
      <c r="F47" s="33"/>
      <c r="G47" s="33"/>
      <c r="H47" s="33"/>
      <c r="I47" s="33"/>
      <c r="J47" s="19"/>
      <c r="K47" s="19"/>
      <c r="L47" s="19"/>
      <c r="M47" s="19"/>
      <c r="N47" s="19"/>
      <c r="O47" s="19"/>
      <c r="P47" s="19"/>
      <c r="Q47" s="19"/>
      <c r="R47" s="19"/>
      <c r="S47" s="19"/>
      <c r="T47" s="19"/>
      <c r="U47" s="19"/>
      <c r="V47" s="19"/>
      <c r="W47" s="19"/>
      <c r="X47" s="19"/>
      <c r="Y47" s="19"/>
      <c r="Z47" s="19"/>
    </row>
    <row r="48" ht="14.25" customHeight="1">
      <c r="A48" s="33"/>
      <c r="B48" s="33"/>
      <c r="C48" s="33"/>
      <c r="D48" s="33"/>
      <c r="E48" s="33"/>
      <c r="F48" s="33"/>
      <c r="G48" s="33"/>
      <c r="H48" s="33"/>
      <c r="I48" s="33"/>
      <c r="J48" s="19"/>
      <c r="K48" s="19"/>
      <c r="L48" s="19"/>
      <c r="M48" s="19"/>
      <c r="N48" s="19"/>
      <c r="O48" s="19"/>
      <c r="P48" s="19"/>
      <c r="Q48" s="19"/>
      <c r="R48" s="19"/>
      <c r="S48" s="19"/>
      <c r="T48" s="19"/>
      <c r="U48" s="19"/>
      <c r="V48" s="19"/>
      <c r="W48" s="19"/>
      <c r="X48" s="19"/>
      <c r="Y48" s="19"/>
      <c r="Z48" s="19"/>
    </row>
    <row r="49" ht="14.25" customHeight="1">
      <c r="A49" s="33"/>
      <c r="B49" s="33"/>
      <c r="C49" s="33"/>
      <c r="D49" s="33"/>
      <c r="E49" s="33"/>
      <c r="F49" s="33"/>
      <c r="G49" s="33"/>
      <c r="H49" s="33"/>
      <c r="I49" s="33"/>
      <c r="J49" s="19"/>
      <c r="K49" s="19"/>
      <c r="L49" s="19"/>
      <c r="M49" s="19"/>
      <c r="N49" s="19"/>
      <c r="O49" s="19"/>
      <c r="P49" s="19"/>
      <c r="Q49" s="19"/>
      <c r="R49" s="19"/>
      <c r="S49" s="19"/>
      <c r="T49" s="19"/>
      <c r="U49" s="19"/>
      <c r="V49" s="19"/>
      <c r="W49" s="19"/>
      <c r="X49" s="19"/>
      <c r="Y49" s="19"/>
      <c r="Z49" s="19"/>
    </row>
    <row r="50" ht="14.25" customHeight="1">
      <c r="A50" s="33"/>
      <c r="B50" s="33"/>
      <c r="C50" s="33"/>
      <c r="D50" s="33"/>
      <c r="E50" s="33"/>
      <c r="F50" s="33"/>
      <c r="G50" s="33"/>
      <c r="H50" s="33"/>
      <c r="I50" s="33"/>
      <c r="J50" s="19"/>
      <c r="K50" s="19"/>
      <c r="L50" s="19"/>
      <c r="M50" s="19"/>
      <c r="N50" s="19"/>
      <c r="O50" s="19"/>
      <c r="P50" s="19"/>
      <c r="Q50" s="19"/>
      <c r="R50" s="19"/>
      <c r="S50" s="19"/>
      <c r="T50" s="19"/>
      <c r="U50" s="19"/>
      <c r="V50" s="19"/>
      <c r="W50" s="19"/>
      <c r="X50" s="19"/>
      <c r="Y50" s="19"/>
      <c r="Z50" s="19"/>
    </row>
    <row r="51" ht="14.25" customHeight="1">
      <c r="A51" s="33"/>
      <c r="B51" s="33"/>
      <c r="C51" s="33"/>
      <c r="D51" s="33"/>
      <c r="E51" s="33"/>
      <c r="F51" s="33"/>
      <c r="G51" s="33"/>
      <c r="H51" s="33"/>
      <c r="I51" s="33"/>
      <c r="J51" s="19"/>
      <c r="K51" s="19"/>
      <c r="L51" s="19"/>
      <c r="M51" s="19"/>
      <c r="N51" s="19"/>
      <c r="O51" s="19"/>
      <c r="P51" s="19"/>
      <c r="Q51" s="19"/>
      <c r="R51" s="19"/>
      <c r="S51" s="19"/>
      <c r="T51" s="19"/>
      <c r="U51" s="19"/>
      <c r="V51" s="19"/>
      <c r="W51" s="19"/>
      <c r="X51" s="19"/>
      <c r="Y51" s="19"/>
      <c r="Z51" s="19"/>
    </row>
    <row r="52" ht="14.25" customHeight="1">
      <c r="A52" s="33"/>
      <c r="B52" s="33"/>
      <c r="C52" s="33"/>
      <c r="D52" s="33"/>
      <c r="E52" s="33"/>
      <c r="F52" s="33"/>
      <c r="G52" s="33"/>
      <c r="H52" s="33"/>
      <c r="I52" s="33"/>
      <c r="J52" s="19"/>
      <c r="K52" s="19"/>
      <c r="L52" s="19"/>
      <c r="M52" s="19"/>
      <c r="N52" s="19"/>
      <c r="O52" s="19"/>
      <c r="P52" s="19"/>
      <c r="Q52" s="19"/>
      <c r="R52" s="19"/>
      <c r="S52" s="19"/>
      <c r="T52" s="19"/>
      <c r="U52" s="19"/>
      <c r="V52" s="19"/>
      <c r="W52" s="19"/>
      <c r="X52" s="19"/>
      <c r="Y52" s="19"/>
      <c r="Z52" s="19"/>
    </row>
    <row r="53" ht="14.25" customHeight="1">
      <c r="A53" s="33"/>
      <c r="B53" s="33"/>
      <c r="C53" s="33"/>
      <c r="D53" s="33"/>
      <c r="E53" s="33"/>
      <c r="F53" s="33"/>
      <c r="G53" s="33"/>
      <c r="H53" s="33"/>
      <c r="I53" s="33"/>
      <c r="J53" s="19"/>
      <c r="K53" s="19"/>
      <c r="L53" s="19"/>
      <c r="M53" s="19"/>
      <c r="N53" s="19"/>
      <c r="O53" s="19"/>
      <c r="P53" s="19"/>
      <c r="Q53" s="19"/>
      <c r="R53" s="19"/>
      <c r="S53" s="19"/>
      <c r="T53" s="19"/>
      <c r="U53" s="19"/>
      <c r="V53" s="19"/>
      <c r="W53" s="19"/>
      <c r="X53" s="19"/>
      <c r="Y53" s="19"/>
      <c r="Z53" s="19"/>
    </row>
    <row r="54" ht="14.25" customHeight="1">
      <c r="A54" s="33"/>
      <c r="B54" s="33"/>
      <c r="C54" s="33"/>
      <c r="D54" s="33"/>
      <c r="E54" s="33"/>
      <c r="F54" s="33"/>
      <c r="G54" s="33"/>
      <c r="H54" s="33"/>
      <c r="I54" s="33"/>
      <c r="J54" s="19"/>
      <c r="K54" s="19"/>
      <c r="L54" s="19"/>
      <c r="M54" s="19"/>
      <c r="N54" s="19"/>
      <c r="O54" s="19"/>
      <c r="P54" s="19"/>
      <c r="Q54" s="19"/>
      <c r="R54" s="19"/>
      <c r="S54" s="19"/>
      <c r="T54" s="19"/>
      <c r="U54" s="19"/>
      <c r="V54" s="19"/>
      <c r="W54" s="19"/>
      <c r="X54" s="19"/>
      <c r="Y54" s="19"/>
      <c r="Z54" s="19"/>
    </row>
    <row r="55" ht="14.25" customHeight="1">
      <c r="A55" s="33"/>
      <c r="B55" s="33"/>
      <c r="C55" s="33"/>
      <c r="D55" s="33"/>
      <c r="E55" s="33"/>
      <c r="F55" s="33"/>
      <c r="G55" s="33"/>
      <c r="H55" s="33"/>
      <c r="I55" s="33"/>
      <c r="J55" s="19"/>
      <c r="K55" s="19"/>
      <c r="L55" s="19"/>
      <c r="M55" s="19"/>
      <c r="N55" s="19"/>
      <c r="O55" s="19"/>
      <c r="P55" s="19"/>
      <c r="Q55" s="19"/>
      <c r="R55" s="19"/>
      <c r="S55" s="19"/>
      <c r="T55" s="19"/>
      <c r="U55" s="19"/>
      <c r="V55" s="19"/>
      <c r="W55" s="19"/>
      <c r="X55" s="19"/>
      <c r="Y55" s="19"/>
      <c r="Z55" s="19"/>
    </row>
    <row r="56" ht="14.25" customHeight="1">
      <c r="A56" s="33"/>
      <c r="B56" s="33"/>
      <c r="C56" s="33"/>
      <c r="D56" s="33"/>
      <c r="E56" s="33"/>
      <c r="F56" s="33"/>
      <c r="G56" s="33"/>
      <c r="H56" s="33"/>
      <c r="I56" s="33"/>
      <c r="J56" s="19"/>
      <c r="K56" s="19"/>
      <c r="L56" s="19"/>
      <c r="M56" s="19"/>
      <c r="N56" s="19"/>
      <c r="O56" s="19"/>
      <c r="P56" s="19"/>
      <c r="Q56" s="19"/>
      <c r="R56" s="19"/>
      <c r="S56" s="19"/>
      <c r="T56" s="19"/>
      <c r="U56" s="19"/>
      <c r="V56" s="19"/>
      <c r="W56" s="19"/>
      <c r="X56" s="19"/>
      <c r="Y56" s="19"/>
      <c r="Z56" s="19"/>
    </row>
    <row r="57" ht="14.25" customHeight="1">
      <c r="A57" s="33"/>
      <c r="B57" s="33"/>
      <c r="C57" s="33"/>
      <c r="D57" s="33"/>
      <c r="E57" s="33"/>
      <c r="F57" s="33"/>
      <c r="G57" s="33"/>
      <c r="H57" s="33"/>
      <c r="I57" s="33"/>
      <c r="J57" s="19"/>
      <c r="K57" s="19"/>
      <c r="L57" s="19"/>
      <c r="M57" s="19"/>
      <c r="N57" s="19"/>
      <c r="O57" s="19"/>
      <c r="P57" s="19"/>
      <c r="Q57" s="19"/>
      <c r="R57" s="19"/>
      <c r="S57" s="19"/>
      <c r="T57" s="19"/>
      <c r="U57" s="19"/>
      <c r="V57" s="19"/>
      <c r="W57" s="19"/>
      <c r="X57" s="19"/>
      <c r="Y57" s="19"/>
      <c r="Z57" s="19"/>
    </row>
    <row r="58" ht="14.25" customHeight="1">
      <c r="A58" s="33"/>
      <c r="B58" s="33"/>
      <c r="C58" s="33"/>
      <c r="D58" s="33"/>
      <c r="E58" s="33"/>
      <c r="F58" s="33"/>
      <c r="G58" s="33"/>
      <c r="H58" s="33"/>
      <c r="I58" s="33"/>
      <c r="J58" s="19"/>
      <c r="K58" s="19"/>
      <c r="L58" s="19"/>
      <c r="M58" s="19"/>
      <c r="N58" s="19"/>
      <c r="O58" s="19"/>
      <c r="P58" s="19"/>
      <c r="Q58" s="19"/>
      <c r="R58" s="19"/>
      <c r="S58" s="19"/>
      <c r="T58" s="19"/>
      <c r="U58" s="19"/>
      <c r="V58" s="19"/>
      <c r="W58" s="19"/>
      <c r="X58" s="19"/>
      <c r="Y58" s="19"/>
      <c r="Z58" s="19"/>
    </row>
    <row r="59" ht="14.25" customHeight="1">
      <c r="A59" s="33"/>
      <c r="B59" s="33"/>
      <c r="C59" s="33"/>
      <c r="D59" s="33"/>
      <c r="E59" s="33"/>
      <c r="F59" s="33"/>
      <c r="G59" s="33"/>
      <c r="H59" s="33"/>
      <c r="I59" s="33"/>
      <c r="J59" s="19"/>
      <c r="K59" s="19"/>
      <c r="L59" s="19"/>
      <c r="M59" s="19"/>
      <c r="N59" s="19"/>
      <c r="O59" s="19"/>
      <c r="P59" s="19"/>
      <c r="Q59" s="19"/>
      <c r="R59" s="19"/>
      <c r="S59" s="19"/>
      <c r="T59" s="19"/>
      <c r="U59" s="19"/>
      <c r="V59" s="19"/>
      <c r="W59" s="19"/>
      <c r="X59" s="19"/>
      <c r="Y59" s="19"/>
      <c r="Z59" s="19"/>
    </row>
    <row r="60" ht="14.25" customHeight="1">
      <c r="A60" s="33"/>
      <c r="B60" s="33"/>
      <c r="C60" s="33"/>
      <c r="D60" s="33"/>
      <c r="E60" s="33"/>
      <c r="F60" s="33"/>
      <c r="G60" s="33"/>
      <c r="H60" s="33"/>
      <c r="I60" s="33"/>
      <c r="J60" s="19"/>
      <c r="K60" s="19"/>
      <c r="L60" s="19"/>
      <c r="M60" s="19"/>
      <c r="N60" s="19"/>
      <c r="O60" s="19"/>
      <c r="P60" s="19"/>
      <c r="Q60" s="19"/>
      <c r="R60" s="19"/>
      <c r="S60" s="19"/>
      <c r="T60" s="19"/>
      <c r="U60" s="19"/>
      <c r="V60" s="19"/>
      <c r="W60" s="19"/>
      <c r="X60" s="19"/>
      <c r="Y60" s="19"/>
      <c r="Z60" s="19"/>
    </row>
    <row r="61" ht="14.25" customHeight="1">
      <c r="A61" s="33"/>
      <c r="B61" s="33"/>
      <c r="C61" s="33"/>
      <c r="D61" s="33"/>
      <c r="E61" s="33"/>
      <c r="F61" s="33"/>
      <c r="G61" s="33"/>
      <c r="H61" s="33"/>
      <c r="I61" s="33"/>
      <c r="J61" s="19"/>
      <c r="K61" s="19"/>
      <c r="L61" s="19"/>
      <c r="M61" s="19"/>
      <c r="N61" s="19"/>
      <c r="O61" s="19"/>
      <c r="P61" s="19"/>
      <c r="Q61" s="19"/>
      <c r="R61" s="19"/>
      <c r="S61" s="19"/>
      <c r="T61" s="19"/>
      <c r="U61" s="19"/>
      <c r="V61" s="19"/>
      <c r="W61" s="19"/>
      <c r="X61" s="19"/>
      <c r="Y61" s="19"/>
      <c r="Z61" s="19"/>
    </row>
    <row r="62" ht="14.25" customHeight="1">
      <c r="A62" s="33"/>
      <c r="B62" s="33"/>
      <c r="C62" s="33"/>
      <c r="D62" s="33"/>
      <c r="E62" s="33"/>
      <c r="F62" s="33"/>
      <c r="G62" s="33"/>
      <c r="H62" s="33"/>
      <c r="I62" s="33"/>
      <c r="J62" s="19"/>
      <c r="K62" s="19"/>
      <c r="L62" s="19"/>
      <c r="M62" s="19"/>
      <c r="N62" s="19"/>
      <c r="O62" s="19"/>
      <c r="P62" s="19"/>
      <c r="Q62" s="19"/>
      <c r="R62" s="19"/>
      <c r="S62" s="19"/>
      <c r="T62" s="19"/>
      <c r="U62" s="19"/>
      <c r="V62" s="19"/>
      <c r="W62" s="19"/>
      <c r="X62" s="19"/>
      <c r="Y62" s="19"/>
      <c r="Z62" s="19"/>
    </row>
    <row r="63" ht="14.25" customHeight="1">
      <c r="A63" s="33"/>
      <c r="B63" s="33"/>
      <c r="C63" s="33"/>
      <c r="D63" s="33"/>
      <c r="E63" s="33"/>
      <c r="F63" s="33"/>
      <c r="G63" s="33"/>
      <c r="H63" s="33"/>
      <c r="I63" s="33"/>
      <c r="J63" s="19"/>
      <c r="K63" s="19"/>
      <c r="L63" s="19"/>
      <c r="M63" s="19"/>
      <c r="N63" s="19"/>
      <c r="O63" s="19"/>
      <c r="P63" s="19"/>
      <c r="Q63" s="19"/>
      <c r="R63" s="19"/>
      <c r="S63" s="19"/>
      <c r="T63" s="19"/>
      <c r="U63" s="19"/>
      <c r="V63" s="19"/>
      <c r="W63" s="19"/>
      <c r="X63" s="19"/>
      <c r="Y63" s="19"/>
      <c r="Z63" s="19"/>
    </row>
    <row r="64" ht="14.25" customHeight="1">
      <c r="A64" s="33"/>
      <c r="B64" s="33"/>
      <c r="C64" s="33"/>
      <c r="D64" s="33"/>
      <c r="E64" s="33"/>
      <c r="F64" s="33"/>
      <c r="G64" s="33"/>
      <c r="H64" s="33"/>
      <c r="I64" s="33"/>
      <c r="J64" s="19"/>
      <c r="K64" s="19"/>
      <c r="L64" s="19"/>
      <c r="M64" s="19"/>
      <c r="N64" s="19"/>
      <c r="O64" s="19"/>
      <c r="P64" s="19"/>
      <c r="Q64" s="19"/>
      <c r="R64" s="19"/>
      <c r="S64" s="19"/>
      <c r="T64" s="19"/>
      <c r="U64" s="19"/>
      <c r="V64" s="19"/>
      <c r="W64" s="19"/>
      <c r="X64" s="19"/>
      <c r="Y64" s="19"/>
      <c r="Z64" s="19"/>
    </row>
    <row r="65" ht="14.25" customHeight="1">
      <c r="A65" s="33"/>
      <c r="B65" s="33"/>
      <c r="C65" s="33"/>
      <c r="D65" s="33"/>
      <c r="E65" s="33"/>
      <c r="F65" s="33"/>
      <c r="G65" s="33"/>
      <c r="H65" s="33"/>
      <c r="I65" s="33"/>
      <c r="J65" s="19"/>
      <c r="K65" s="19"/>
      <c r="L65" s="19"/>
      <c r="M65" s="19"/>
      <c r="N65" s="19"/>
      <c r="O65" s="19"/>
      <c r="P65" s="19"/>
      <c r="Q65" s="19"/>
      <c r="R65" s="19"/>
      <c r="S65" s="19"/>
      <c r="T65" s="19"/>
      <c r="U65" s="19"/>
      <c r="V65" s="19"/>
      <c r="W65" s="19"/>
      <c r="X65" s="19"/>
      <c r="Y65" s="19"/>
      <c r="Z65" s="19"/>
    </row>
    <row r="66" ht="14.25" customHeight="1">
      <c r="A66" s="33"/>
      <c r="B66" s="33"/>
      <c r="C66" s="33"/>
      <c r="D66" s="33"/>
      <c r="E66" s="33"/>
      <c r="F66" s="33"/>
      <c r="G66" s="33"/>
      <c r="H66" s="33"/>
      <c r="I66" s="33"/>
      <c r="J66" s="19"/>
      <c r="K66" s="19"/>
      <c r="L66" s="19"/>
      <c r="M66" s="19"/>
      <c r="N66" s="19"/>
      <c r="O66" s="19"/>
      <c r="P66" s="19"/>
      <c r="Q66" s="19"/>
      <c r="R66" s="19"/>
      <c r="S66" s="19"/>
      <c r="T66" s="19"/>
      <c r="U66" s="19"/>
      <c r="V66" s="19"/>
      <c r="W66" s="19"/>
      <c r="X66" s="19"/>
      <c r="Y66" s="19"/>
      <c r="Z66" s="19"/>
    </row>
    <row r="67" ht="14.25" customHeight="1">
      <c r="A67" s="33"/>
      <c r="B67" s="33"/>
      <c r="C67" s="33"/>
      <c r="D67" s="33"/>
      <c r="E67" s="33"/>
      <c r="F67" s="33"/>
      <c r="G67" s="33"/>
      <c r="H67" s="33"/>
      <c r="I67" s="33"/>
      <c r="J67" s="19"/>
      <c r="K67" s="19"/>
      <c r="L67" s="19"/>
      <c r="M67" s="19"/>
      <c r="N67" s="19"/>
      <c r="O67" s="19"/>
      <c r="P67" s="19"/>
      <c r="Q67" s="19"/>
      <c r="R67" s="19"/>
      <c r="S67" s="19"/>
      <c r="T67" s="19"/>
      <c r="U67" s="19"/>
      <c r="V67" s="19"/>
      <c r="W67" s="19"/>
      <c r="X67" s="19"/>
      <c r="Y67" s="19"/>
      <c r="Z67" s="19"/>
    </row>
    <row r="68" ht="14.25" customHeight="1">
      <c r="A68" s="33"/>
      <c r="B68" s="33"/>
      <c r="C68" s="33"/>
      <c r="D68" s="33"/>
      <c r="E68" s="33"/>
      <c r="F68" s="33"/>
      <c r="G68" s="33"/>
      <c r="H68" s="33"/>
      <c r="I68" s="33"/>
      <c r="J68" s="19"/>
      <c r="K68" s="19"/>
      <c r="L68" s="19"/>
      <c r="M68" s="19"/>
      <c r="N68" s="19"/>
      <c r="O68" s="19"/>
      <c r="P68" s="19"/>
      <c r="Q68" s="19"/>
      <c r="R68" s="19"/>
      <c r="S68" s="19"/>
      <c r="T68" s="19"/>
      <c r="U68" s="19"/>
      <c r="V68" s="19"/>
      <c r="W68" s="19"/>
      <c r="X68" s="19"/>
      <c r="Y68" s="19"/>
      <c r="Z68" s="19"/>
    </row>
    <row r="69" ht="14.25" customHeight="1">
      <c r="A69" s="33"/>
      <c r="B69" s="33"/>
      <c r="C69" s="33"/>
      <c r="D69" s="33"/>
      <c r="E69" s="33"/>
      <c r="F69" s="33"/>
      <c r="G69" s="33"/>
      <c r="H69" s="33"/>
      <c r="I69" s="33"/>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4.2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4.2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4.2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4.2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4.2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4.2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4.2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4.2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4.2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4.2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4.2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4.2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4.2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4.2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4.2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4.2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4.2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4.2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4.2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4.2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4.2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4.2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4.2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4.2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4.2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4.2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4.2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4.2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4.2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4.2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4.2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4.2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4.2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4.2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4.2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4.2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4.2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4.2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4.2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4.2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4.2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4.2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4.2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4.2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4.2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4.2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4.2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4.2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
    <mergeCell ref="A6:I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20.29"/>
    <col customWidth="1" min="3" max="3" width="9.0"/>
    <col customWidth="1" min="4" max="4" width="10.0"/>
    <col customWidth="1" min="5" max="5" width="9.0"/>
    <col customWidth="1" min="6" max="6" width="13.57"/>
    <col customWidth="1" min="7" max="7" width="10.71"/>
    <col customWidth="1" min="8" max="26" width="8.71"/>
  </cols>
  <sheetData>
    <row r="1" ht="14.25" customHeight="1">
      <c r="A1" s="34" t="s">
        <v>18</v>
      </c>
      <c r="B1" s="23"/>
      <c r="C1" s="23"/>
      <c r="D1" s="23"/>
      <c r="E1" s="23"/>
      <c r="F1" s="23"/>
      <c r="G1" s="24"/>
    </row>
    <row r="2" ht="14.25" customHeight="1">
      <c r="A2" s="19" t="s">
        <v>19</v>
      </c>
      <c r="B2" s="19" t="s">
        <v>20</v>
      </c>
      <c r="C2" s="19"/>
      <c r="D2" s="19"/>
      <c r="E2" s="19"/>
      <c r="F2" s="19"/>
      <c r="G2" s="19"/>
    </row>
    <row r="3" ht="14.25" customHeight="1">
      <c r="A3" s="19" t="s">
        <v>10</v>
      </c>
      <c r="B3" s="19" t="s">
        <v>21</v>
      </c>
      <c r="C3" s="19" t="s">
        <v>22</v>
      </c>
      <c r="D3" s="19" t="s">
        <v>23</v>
      </c>
      <c r="E3" s="19" t="s">
        <v>24</v>
      </c>
      <c r="F3" s="19" t="s">
        <v>25</v>
      </c>
      <c r="G3" s="19" t="s">
        <v>26</v>
      </c>
    </row>
    <row r="4" ht="14.25" customHeight="1">
      <c r="A4" s="19" t="s">
        <v>27</v>
      </c>
      <c r="B4" s="19">
        <v>11297.150000000001</v>
      </c>
      <c r="C4" s="19">
        <v>12200.26</v>
      </c>
      <c r="D4" s="19">
        <v>6621.24</v>
      </c>
      <c r="E4" s="19">
        <v>4876.96</v>
      </c>
      <c r="F4" s="19">
        <v>8472.72</v>
      </c>
      <c r="G4" s="19">
        <v>43468.33</v>
      </c>
    </row>
    <row r="5" ht="14.25" customHeight="1">
      <c r="A5" s="19" t="s">
        <v>28</v>
      </c>
      <c r="B5" s="19">
        <v>11389.090000000002</v>
      </c>
      <c r="C5" s="19">
        <v>2401.45</v>
      </c>
      <c r="D5" s="19">
        <v>2869.54</v>
      </c>
      <c r="E5" s="19">
        <v>7592.339999999999</v>
      </c>
      <c r="F5" s="19">
        <v>8189.220000000001</v>
      </c>
      <c r="G5" s="19">
        <v>32441.640000000003</v>
      </c>
    </row>
    <row r="6" ht="14.25" customHeight="1">
      <c r="A6" s="19" t="s">
        <v>29</v>
      </c>
      <c r="B6" s="19">
        <v>8037.010000000001</v>
      </c>
      <c r="C6" s="19">
        <v>8422.82</v>
      </c>
      <c r="D6" s="19">
        <v>8191.709999999999</v>
      </c>
      <c r="E6" s="19">
        <v>6978.08</v>
      </c>
      <c r="F6" s="19">
        <v>3345.8</v>
      </c>
      <c r="G6" s="19">
        <v>34975.420000000006</v>
      </c>
    </row>
    <row r="7" ht="14.25" customHeight="1">
      <c r="A7" s="19" t="s">
        <v>30</v>
      </c>
      <c r="B7" s="19">
        <v>9588.04</v>
      </c>
      <c r="C7" s="19">
        <v>8393.630000000001</v>
      </c>
      <c r="D7" s="19">
        <v>11989.070000000003</v>
      </c>
      <c r="E7" s="19">
        <v>7982.73</v>
      </c>
      <c r="F7" s="19">
        <v>2295.3199999999997</v>
      </c>
      <c r="G7" s="19">
        <v>40248.79</v>
      </c>
    </row>
    <row r="8" ht="14.25" customHeight="1">
      <c r="A8" s="19" t="s">
        <v>31</v>
      </c>
      <c r="B8" s="19">
        <v>6691.17</v>
      </c>
      <c r="C8" s="19">
        <v>10509.429999999998</v>
      </c>
      <c r="D8" s="19">
        <v>11372.44</v>
      </c>
      <c r="E8" s="19">
        <v>9182.78</v>
      </c>
      <c r="F8" s="19">
        <v>6327.76</v>
      </c>
      <c r="G8" s="19">
        <v>44083.58</v>
      </c>
    </row>
    <row r="9" ht="14.25" customHeight="1">
      <c r="A9" s="19" t="s">
        <v>26</v>
      </c>
      <c r="B9" s="19">
        <v>47002.46000000001</v>
      </c>
      <c r="C9" s="19">
        <v>41927.59</v>
      </c>
      <c r="D9" s="19">
        <v>41044.0</v>
      </c>
      <c r="E9" s="19">
        <v>36612.89</v>
      </c>
      <c r="F9" s="19">
        <v>28630.82</v>
      </c>
      <c r="G9" s="19">
        <v>195217.76</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G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3.0"/>
    <col customWidth="1" min="3" max="26" width="8.71"/>
  </cols>
  <sheetData>
    <row r="1" ht="14.25" customHeight="1">
      <c r="A1" s="35" t="s">
        <v>32</v>
      </c>
      <c r="B1" s="36"/>
    </row>
    <row r="2" ht="14.25" customHeight="1">
      <c r="A2" s="37" t="s">
        <v>10</v>
      </c>
      <c r="B2" s="37" t="s">
        <v>33</v>
      </c>
    </row>
    <row r="3" ht="14.25" customHeight="1">
      <c r="A3" s="38" t="s">
        <v>27</v>
      </c>
      <c r="B3" s="37">
        <v>43468.33</v>
      </c>
    </row>
    <row r="4" ht="14.25" customHeight="1">
      <c r="A4" s="38" t="s">
        <v>28</v>
      </c>
      <c r="B4" s="37">
        <v>32441.64</v>
      </c>
    </row>
    <row r="5" ht="14.25" customHeight="1">
      <c r="A5" s="38" t="s">
        <v>29</v>
      </c>
      <c r="B5" s="37">
        <v>34975.42</v>
      </c>
    </row>
    <row r="6" ht="14.25" customHeight="1">
      <c r="A6" s="38" t="s">
        <v>30</v>
      </c>
      <c r="B6" s="37">
        <v>40248.79</v>
      </c>
    </row>
    <row r="7" ht="14.25" customHeight="1">
      <c r="A7" s="38" t="s">
        <v>31</v>
      </c>
      <c r="B7" s="37">
        <v>44083.58</v>
      </c>
    </row>
    <row r="8" ht="14.25" customHeight="1">
      <c r="A8" s="38" t="s">
        <v>26</v>
      </c>
      <c r="B8" s="37">
        <v>195217.76</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1.71"/>
    <col customWidth="1" min="3" max="26" width="8.71"/>
  </cols>
  <sheetData>
    <row r="1" ht="14.25" customHeight="1">
      <c r="A1" s="39" t="s">
        <v>34</v>
      </c>
      <c r="B1" s="31"/>
    </row>
    <row r="2" ht="14.25" customHeight="1">
      <c r="A2" s="40" t="s">
        <v>35</v>
      </c>
      <c r="B2" s="40" t="s">
        <v>33</v>
      </c>
    </row>
    <row r="3" ht="14.25" customHeight="1">
      <c r="A3" s="40" t="s">
        <v>36</v>
      </c>
      <c r="B3" s="40">
        <v>145429.36000000002</v>
      </c>
    </row>
    <row r="4" ht="14.25" customHeight="1">
      <c r="A4" s="40" t="s">
        <v>37</v>
      </c>
      <c r="B4" s="40">
        <v>19029.96</v>
      </c>
    </row>
    <row r="5" ht="14.25" customHeight="1">
      <c r="A5" s="40" t="s">
        <v>38</v>
      </c>
      <c r="B5" s="40">
        <v>18507.339999999997</v>
      </c>
    </row>
    <row r="6" ht="14.25" customHeight="1">
      <c r="A6" s="40" t="s">
        <v>39</v>
      </c>
      <c r="B6" s="40">
        <v>20187.51</v>
      </c>
    </row>
    <row r="7" ht="14.25" customHeight="1">
      <c r="A7" s="40" t="s">
        <v>40</v>
      </c>
      <c r="B7" s="40">
        <v>11609.039999999999</v>
      </c>
    </row>
    <row r="8" ht="14.25" customHeight="1">
      <c r="A8" s="40" t="s">
        <v>41</v>
      </c>
      <c r="B8" s="40">
        <v>10091.699999999999</v>
      </c>
      <c r="C8" s="41"/>
    </row>
    <row r="9" ht="14.25" customHeight="1">
      <c r="A9" s="40" t="s">
        <v>42</v>
      </c>
      <c r="B9" s="40">
        <v>20533.499999999996</v>
      </c>
    </row>
    <row r="10" ht="14.25" customHeight="1">
      <c r="A10" s="40" t="s">
        <v>43</v>
      </c>
      <c r="B10" s="40">
        <v>14215.240000000002</v>
      </c>
    </row>
    <row r="11" ht="14.25" customHeight="1">
      <c r="A11" s="40" t="s">
        <v>44</v>
      </c>
      <c r="B11" s="40">
        <v>20135.030000000002</v>
      </c>
    </row>
    <row r="12" ht="14.25" customHeight="1">
      <c r="A12" s="40" t="s">
        <v>45</v>
      </c>
      <c r="B12" s="40">
        <v>11120.04</v>
      </c>
    </row>
    <row r="13" ht="14.25" customHeight="1">
      <c r="A13" s="40" t="s">
        <v>46</v>
      </c>
      <c r="B13" s="40">
        <v>49788.399999999994</v>
      </c>
    </row>
    <row r="14" ht="14.25" customHeight="1">
      <c r="A14" s="40" t="s">
        <v>47</v>
      </c>
      <c r="B14" s="40">
        <v>14914.650000000001</v>
      </c>
    </row>
    <row r="15" ht="14.25" customHeight="1">
      <c r="A15" s="40" t="s">
        <v>48</v>
      </c>
      <c r="B15" s="40">
        <v>14006.359999999999</v>
      </c>
    </row>
    <row r="16" ht="14.25" customHeight="1">
      <c r="A16" s="40" t="s">
        <v>49</v>
      </c>
      <c r="B16" s="40">
        <v>17655.219999999998</v>
      </c>
    </row>
    <row r="17" ht="14.25" customHeight="1">
      <c r="A17" s="40" t="s">
        <v>37</v>
      </c>
      <c r="B17" s="40">
        <v>3212.17</v>
      </c>
    </row>
    <row r="18" ht="14.25" customHeight="1">
      <c r="A18" s="40" t="s">
        <v>26</v>
      </c>
      <c r="B18" s="40">
        <v>195217.76</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2.0"/>
    <col customWidth="1" min="3" max="3" width="13.29"/>
    <col customWidth="1" min="4" max="5" width="8.71"/>
    <col customWidth="1" min="6" max="6" width="16.29"/>
    <col customWidth="1" min="7" max="7" width="13.57"/>
    <col customWidth="1" min="8" max="8" width="12.14"/>
    <col customWidth="1" min="9" max="9" width="15.29"/>
    <col customWidth="1" min="10" max="26" width="8.71"/>
  </cols>
  <sheetData>
    <row r="1" ht="14.25" customHeight="1">
      <c r="A1" s="42" t="s">
        <v>50</v>
      </c>
      <c r="B1" s="23"/>
      <c r="C1" s="23"/>
      <c r="D1" s="23"/>
      <c r="E1" s="23"/>
      <c r="F1" s="23"/>
      <c r="G1" s="23"/>
      <c r="H1" s="23"/>
      <c r="I1" s="23"/>
      <c r="J1" s="23"/>
      <c r="K1" s="23"/>
      <c r="L1" s="23"/>
      <c r="M1" s="23"/>
      <c r="N1" s="23"/>
      <c r="O1" s="23"/>
      <c r="P1" s="23"/>
      <c r="Q1" s="23"/>
      <c r="R1" s="23"/>
      <c r="S1" s="23"/>
      <c r="T1" s="23"/>
      <c r="U1" s="23"/>
      <c r="V1" s="23"/>
      <c r="W1" s="24"/>
    </row>
    <row r="2" ht="14.25" customHeight="1"/>
    <row r="3" ht="14.25" customHeight="1">
      <c r="A3" s="43" t="s">
        <v>51</v>
      </c>
      <c r="B3" s="43" t="s">
        <v>52</v>
      </c>
    </row>
    <row r="4" ht="14.25" customHeight="1">
      <c r="A4" s="44" t="s">
        <v>53</v>
      </c>
      <c r="B4" s="44">
        <v>0.7734030641434262</v>
      </c>
    </row>
    <row r="5" ht="14.25" customHeight="1">
      <c r="A5" s="44" t="s">
        <v>54</v>
      </c>
      <c r="B5" s="44">
        <v>0.5981522996264406</v>
      </c>
    </row>
    <row r="6" ht="14.25" customHeight="1">
      <c r="A6" s="44" t="s">
        <v>55</v>
      </c>
      <c r="B6" s="44">
        <v>0.5961227657861701</v>
      </c>
    </row>
    <row r="7" ht="14.25" customHeight="1">
      <c r="A7" s="44" t="s">
        <v>56</v>
      </c>
      <c r="B7" s="44">
        <v>86.28123052966517</v>
      </c>
    </row>
    <row r="8" ht="14.25" customHeight="1">
      <c r="A8" s="44" t="s">
        <v>57</v>
      </c>
      <c r="B8" s="44">
        <v>200.0</v>
      </c>
    </row>
    <row r="9" ht="14.25" customHeight="1"/>
    <row r="10" ht="14.25" customHeight="1">
      <c r="A10" s="45" t="s">
        <v>58</v>
      </c>
      <c r="B10" s="46"/>
      <c r="C10" s="46"/>
      <c r="D10" s="46"/>
      <c r="E10" s="46"/>
      <c r="F10" s="36"/>
    </row>
    <row r="11" ht="14.25" customHeight="1">
      <c r="A11" s="47"/>
      <c r="B11" s="48" t="s">
        <v>59</v>
      </c>
      <c r="C11" s="48" t="s">
        <v>60</v>
      </c>
      <c r="D11" s="48" t="s">
        <v>61</v>
      </c>
      <c r="E11" s="48" t="s">
        <v>62</v>
      </c>
      <c r="F11" s="48" t="s">
        <v>63</v>
      </c>
    </row>
    <row r="12" ht="14.25" customHeight="1">
      <c r="A12" s="49" t="s">
        <v>64</v>
      </c>
      <c r="B12" s="49">
        <v>1.0</v>
      </c>
      <c r="C12" s="49">
        <v>2194058.183340282</v>
      </c>
      <c r="D12" s="49">
        <v>2194058.183340282</v>
      </c>
      <c r="E12" s="49">
        <v>294.72398427548114</v>
      </c>
      <c r="F12" s="49">
        <v>4.62693675589105E-41</v>
      </c>
    </row>
    <row r="13" ht="14.25" customHeight="1">
      <c r="A13" s="49" t="s">
        <v>65</v>
      </c>
      <c r="B13" s="49">
        <v>198.0</v>
      </c>
      <c r="C13" s="49">
        <v>1474001.2468592182</v>
      </c>
      <c r="D13" s="49">
        <v>7444.450741713224</v>
      </c>
      <c r="E13" s="49"/>
      <c r="F13" s="49"/>
    </row>
    <row r="14" ht="14.25" customHeight="1">
      <c r="A14" s="49" t="s">
        <v>66</v>
      </c>
      <c r="B14" s="49">
        <v>199.0</v>
      </c>
      <c r="C14" s="49">
        <v>3668059.4301995</v>
      </c>
      <c r="D14" s="49"/>
      <c r="E14" s="49"/>
      <c r="F14" s="49"/>
    </row>
    <row r="15" ht="14.25" customHeight="1"/>
    <row r="16" ht="14.25" customHeight="1">
      <c r="A16" s="47"/>
      <c r="B16" s="48" t="s">
        <v>67</v>
      </c>
      <c r="C16" s="48" t="s">
        <v>56</v>
      </c>
      <c r="D16" s="48" t="s">
        <v>68</v>
      </c>
      <c r="E16" s="48" t="s">
        <v>69</v>
      </c>
      <c r="F16" s="48" t="s">
        <v>70</v>
      </c>
      <c r="G16" s="48" t="s">
        <v>71</v>
      </c>
      <c r="H16" s="48" t="s">
        <v>72</v>
      </c>
      <c r="I16" s="48" t="s">
        <v>73</v>
      </c>
    </row>
    <row r="17" ht="14.25" customHeight="1">
      <c r="A17" s="50" t="s">
        <v>74</v>
      </c>
      <c r="B17" s="49">
        <v>-1.0315504901911368</v>
      </c>
      <c r="C17" s="49">
        <v>20.860617005445505</v>
      </c>
      <c r="D17" s="49">
        <v>-0.04944966344580596</v>
      </c>
      <c r="E17" s="49">
        <v>0.9606107969690746</v>
      </c>
      <c r="F17" s="49">
        <v>-42.169051823378965</v>
      </c>
      <c r="G17" s="49">
        <v>40.10595084299669</v>
      </c>
      <c r="H17" s="49">
        <v>-42.169051823378965</v>
      </c>
      <c r="I17" s="49">
        <v>40.10595084299669</v>
      </c>
    </row>
    <row r="18" ht="14.25" customHeight="1">
      <c r="A18" s="50" t="s">
        <v>75</v>
      </c>
      <c r="B18" s="49">
        <v>0.35085598819512254</v>
      </c>
      <c r="C18" s="49">
        <v>0.020437188630135626</v>
      </c>
      <c r="D18" s="49">
        <v>17.167527028535048</v>
      </c>
      <c r="E18" s="49">
        <v>4.626936755890787E-41</v>
      </c>
      <c r="F18" s="49">
        <v>0.31055349501865764</v>
      </c>
      <c r="G18" s="49">
        <v>0.39115848137158743</v>
      </c>
      <c r="H18" s="49">
        <v>0.31055349501865764</v>
      </c>
      <c r="I18" s="49">
        <v>0.39115848137158743</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W1"/>
    <mergeCell ref="A10:F10"/>
  </mergeCell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5.57"/>
    <col customWidth="1" min="3" max="6" width="8.86"/>
    <col customWidth="1" min="7" max="26" width="8.71"/>
  </cols>
  <sheetData>
    <row r="1" ht="14.25" customHeight="1">
      <c r="A1" s="51" t="s">
        <v>12</v>
      </c>
      <c r="B1" s="36"/>
      <c r="C1" s="19"/>
      <c r="D1" s="19"/>
      <c r="E1" s="19"/>
      <c r="F1" s="19"/>
      <c r="G1" s="19"/>
      <c r="H1" s="19"/>
      <c r="I1" s="19"/>
      <c r="J1" s="19"/>
      <c r="K1" s="19"/>
      <c r="L1" s="19"/>
      <c r="M1" s="19"/>
      <c r="N1" s="19"/>
      <c r="O1" s="19"/>
      <c r="P1" s="19"/>
      <c r="Q1" s="19"/>
      <c r="R1" s="19"/>
      <c r="S1" s="19"/>
      <c r="T1" s="19"/>
      <c r="U1" s="19"/>
      <c r="V1" s="19"/>
      <c r="W1" s="19"/>
      <c r="X1" s="19"/>
      <c r="Y1" s="19"/>
      <c r="Z1" s="19"/>
    </row>
    <row r="2" ht="14.25" customHeight="1">
      <c r="A2" s="33"/>
      <c r="B2" s="33"/>
      <c r="C2" s="19"/>
      <c r="D2" s="19"/>
      <c r="E2" s="19"/>
      <c r="F2" s="19"/>
      <c r="G2" s="19"/>
      <c r="H2" s="19"/>
      <c r="I2" s="19"/>
      <c r="J2" s="19"/>
      <c r="K2" s="19"/>
      <c r="L2" s="19"/>
      <c r="M2" s="19"/>
      <c r="N2" s="19"/>
      <c r="O2" s="19"/>
      <c r="P2" s="19"/>
      <c r="Q2" s="19"/>
      <c r="R2" s="19"/>
      <c r="S2" s="19"/>
      <c r="T2" s="19"/>
      <c r="U2" s="19"/>
      <c r="V2" s="19"/>
      <c r="W2" s="19"/>
      <c r="X2" s="19"/>
      <c r="Y2" s="19"/>
      <c r="Z2" s="19"/>
    </row>
    <row r="3" ht="14.25" customHeight="1">
      <c r="A3" s="33" t="s">
        <v>76</v>
      </c>
      <c r="B3" s="33">
        <v>976.0887999999997</v>
      </c>
      <c r="C3" s="19"/>
      <c r="D3" s="19"/>
      <c r="E3" s="19"/>
      <c r="F3" s="19"/>
      <c r="G3" s="19"/>
      <c r="H3" s="19"/>
      <c r="I3" s="19"/>
      <c r="J3" s="19"/>
      <c r="K3" s="19"/>
      <c r="L3" s="19"/>
      <c r="M3" s="19"/>
      <c r="N3" s="19"/>
      <c r="O3" s="19"/>
      <c r="P3" s="19"/>
      <c r="Q3" s="19"/>
      <c r="R3" s="19"/>
      <c r="S3" s="19"/>
      <c r="T3" s="19"/>
      <c r="U3" s="19"/>
      <c r="V3" s="19"/>
      <c r="W3" s="19"/>
      <c r="X3" s="19"/>
      <c r="Y3" s="19"/>
      <c r="Z3" s="19"/>
    </row>
    <row r="4" ht="14.25" customHeight="1">
      <c r="A4" s="33" t="s">
        <v>56</v>
      </c>
      <c r="B4" s="33">
        <v>21.161850448978406</v>
      </c>
      <c r="C4" s="19"/>
      <c r="D4" s="19"/>
      <c r="E4" s="19"/>
      <c r="F4" s="19"/>
      <c r="G4" s="19"/>
      <c r="H4" s="19"/>
      <c r="I4" s="19"/>
      <c r="J4" s="19"/>
      <c r="K4" s="19"/>
      <c r="L4" s="19"/>
      <c r="M4" s="19"/>
      <c r="N4" s="19"/>
      <c r="O4" s="19"/>
      <c r="P4" s="19"/>
      <c r="Q4" s="19"/>
      <c r="R4" s="19"/>
      <c r="S4" s="19"/>
      <c r="T4" s="19"/>
      <c r="U4" s="19"/>
      <c r="V4" s="19"/>
      <c r="W4" s="19"/>
      <c r="X4" s="19"/>
      <c r="Y4" s="19"/>
      <c r="Z4" s="19"/>
    </row>
    <row r="5" ht="14.25" customHeight="1">
      <c r="A5" s="33" t="s">
        <v>77</v>
      </c>
      <c r="B5" s="33">
        <v>976.72</v>
      </c>
      <c r="C5" s="19"/>
      <c r="D5" s="19"/>
      <c r="E5" s="19"/>
      <c r="F5" s="19"/>
      <c r="G5" s="19"/>
      <c r="H5" s="19"/>
      <c r="I5" s="19"/>
      <c r="J5" s="19"/>
      <c r="K5" s="19"/>
      <c r="L5" s="19"/>
      <c r="M5" s="19"/>
      <c r="N5" s="19"/>
      <c r="O5" s="19"/>
      <c r="P5" s="19"/>
      <c r="Q5" s="19"/>
      <c r="R5" s="19"/>
      <c r="S5" s="19"/>
      <c r="T5" s="19"/>
      <c r="U5" s="19"/>
      <c r="V5" s="19"/>
      <c r="W5" s="19"/>
      <c r="X5" s="19"/>
      <c r="Y5" s="19"/>
      <c r="Z5" s="19"/>
    </row>
    <row r="6" ht="14.25" customHeight="1">
      <c r="A6" s="33" t="s">
        <v>78</v>
      </c>
      <c r="B6" s="33" t="e">
        <v>#N/A</v>
      </c>
      <c r="C6" s="19"/>
      <c r="D6" s="19"/>
      <c r="E6" s="19"/>
      <c r="F6" s="19"/>
      <c r="G6" s="19"/>
      <c r="H6" s="19"/>
      <c r="I6" s="19"/>
      <c r="J6" s="19"/>
      <c r="K6" s="19"/>
      <c r="L6" s="19"/>
      <c r="M6" s="19"/>
      <c r="N6" s="19"/>
      <c r="O6" s="19"/>
      <c r="P6" s="19"/>
      <c r="Q6" s="19"/>
      <c r="R6" s="19"/>
      <c r="S6" s="19"/>
      <c r="T6" s="19"/>
      <c r="U6" s="19"/>
      <c r="V6" s="19"/>
      <c r="W6" s="19"/>
      <c r="X6" s="19"/>
      <c r="Y6" s="19"/>
      <c r="Z6" s="19"/>
    </row>
    <row r="7" ht="14.25" customHeight="1">
      <c r="A7" s="33" t="s">
        <v>79</v>
      </c>
      <c r="B7" s="33">
        <v>299.2737590985643</v>
      </c>
      <c r="C7" s="19"/>
      <c r="D7" s="19"/>
      <c r="E7" s="19"/>
      <c r="F7" s="19"/>
      <c r="G7" s="19"/>
      <c r="H7" s="19"/>
      <c r="I7" s="19"/>
      <c r="J7" s="19"/>
      <c r="K7" s="19"/>
      <c r="L7" s="19"/>
      <c r="M7" s="19"/>
      <c r="N7" s="19"/>
      <c r="O7" s="19"/>
      <c r="P7" s="19"/>
      <c r="Q7" s="19"/>
      <c r="R7" s="19"/>
      <c r="S7" s="19"/>
      <c r="T7" s="19"/>
      <c r="U7" s="19"/>
      <c r="V7" s="19"/>
      <c r="W7" s="19"/>
      <c r="X7" s="19"/>
      <c r="Y7" s="19"/>
      <c r="Z7" s="19"/>
    </row>
    <row r="8" ht="14.25" customHeight="1">
      <c r="A8" s="33" t="s">
        <v>80</v>
      </c>
      <c r="B8" s="33">
        <v>89564.78288498551</v>
      </c>
      <c r="C8" s="19"/>
      <c r="D8" s="19"/>
      <c r="E8" s="19"/>
      <c r="F8" s="19"/>
      <c r="G8" s="19"/>
      <c r="H8" s="19"/>
      <c r="I8" s="19"/>
      <c r="J8" s="19"/>
      <c r="K8" s="19"/>
      <c r="L8" s="19"/>
      <c r="M8" s="19"/>
      <c r="N8" s="19"/>
      <c r="O8" s="19"/>
      <c r="P8" s="19"/>
      <c r="Q8" s="19"/>
      <c r="R8" s="19"/>
      <c r="S8" s="19"/>
      <c r="T8" s="19"/>
      <c r="U8" s="19"/>
      <c r="V8" s="19"/>
      <c r="W8" s="19"/>
      <c r="X8" s="19"/>
      <c r="Y8" s="19"/>
      <c r="Z8" s="19"/>
    </row>
    <row r="9" ht="14.25" customHeight="1">
      <c r="A9" s="33" t="s">
        <v>81</v>
      </c>
      <c r="B9" s="33">
        <v>-0.0885952319197405</v>
      </c>
      <c r="C9" s="19"/>
      <c r="D9" s="19"/>
      <c r="E9" s="19"/>
      <c r="F9" s="19"/>
      <c r="G9" s="19"/>
      <c r="H9" s="19"/>
      <c r="I9" s="19"/>
      <c r="J9" s="19"/>
      <c r="K9" s="19"/>
      <c r="L9" s="19"/>
      <c r="M9" s="19"/>
      <c r="N9" s="19"/>
      <c r="O9" s="19"/>
      <c r="P9" s="19"/>
      <c r="Q9" s="19"/>
      <c r="R9" s="19"/>
      <c r="S9" s="19"/>
      <c r="T9" s="19"/>
      <c r="U9" s="19"/>
      <c r="V9" s="19"/>
      <c r="W9" s="19"/>
      <c r="X9" s="19"/>
      <c r="Y9" s="19"/>
      <c r="Z9" s="19"/>
    </row>
    <row r="10" ht="14.25" customHeight="1">
      <c r="A10" s="33" t="s">
        <v>82</v>
      </c>
      <c r="B10" s="33">
        <v>0.14685796564193557</v>
      </c>
      <c r="C10" s="19"/>
      <c r="D10" s="19"/>
      <c r="E10" s="19"/>
      <c r="F10" s="19"/>
      <c r="G10" s="19"/>
      <c r="H10" s="19"/>
      <c r="I10" s="19"/>
      <c r="J10" s="19"/>
      <c r="K10" s="19"/>
      <c r="L10" s="19"/>
      <c r="M10" s="19"/>
      <c r="N10" s="19"/>
      <c r="O10" s="19"/>
      <c r="P10" s="19"/>
      <c r="Q10" s="19"/>
      <c r="R10" s="19"/>
      <c r="S10" s="19"/>
      <c r="T10" s="19"/>
      <c r="U10" s="19"/>
      <c r="V10" s="19"/>
      <c r="W10" s="19"/>
      <c r="X10" s="19"/>
      <c r="Y10" s="19"/>
      <c r="Z10" s="19"/>
    </row>
    <row r="11" ht="14.25" customHeight="1">
      <c r="A11" s="33" t="s">
        <v>83</v>
      </c>
      <c r="B11" s="33">
        <v>1665.15</v>
      </c>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4.25" customHeight="1">
      <c r="A12" s="33" t="s">
        <v>84</v>
      </c>
      <c r="B12" s="33">
        <v>258.51</v>
      </c>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4.25" customHeight="1">
      <c r="A13" s="33" t="s">
        <v>85</v>
      </c>
      <c r="B13" s="33">
        <v>1923.66</v>
      </c>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4.25" customHeight="1">
      <c r="A14" s="33" t="s">
        <v>86</v>
      </c>
      <c r="B14" s="33">
        <v>195217.75999999992</v>
      </c>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4.25" customHeight="1">
      <c r="A15" s="33" t="s">
        <v>87</v>
      </c>
      <c r="B15" s="33">
        <v>200.0</v>
      </c>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4.2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4.2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4.2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4.2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4.2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4.2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4.2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4.2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4.2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4.2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4.2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4.2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4.2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4.2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4.2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4.2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4.2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4.2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4.2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4.2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4.2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4.2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4.2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4.2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4.2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4.2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4.2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4.2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4.2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4.2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4.2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4.2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4.2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4.2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4.2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4.2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4.2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4.2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4.2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4.2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4.2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4.2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4.2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4.2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4.2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4.2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4.2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4.2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4.2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4.2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4.2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4.2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4.2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4.2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4.2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4.2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4.2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4.2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4.2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4.2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4.2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4.2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4.2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4.2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4.2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4.2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4.2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4.2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4.2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
    <mergeCell ref="A1:B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8.0"/>
    <col customWidth="1" min="3" max="3" width="9.57"/>
    <col customWidth="1" min="4" max="4" width="18.57"/>
    <col customWidth="1" min="5" max="5" width="10.71"/>
    <col customWidth="1" min="6" max="6" width="11.43"/>
    <col customWidth="1" min="7" max="7" width="11.71"/>
    <col customWidth="1" min="8" max="8" width="16.71"/>
    <col customWidth="1" min="9" max="9" width="9.0"/>
    <col customWidth="1" min="10" max="10" width="22.43"/>
    <col customWidth="1" min="11" max="11" width="12.86"/>
    <col customWidth="1" min="12" max="12" width="18.57"/>
    <col customWidth="1" min="13" max="26" width="8.71"/>
  </cols>
  <sheetData>
    <row r="1">
      <c r="A1" s="52" t="s">
        <v>88</v>
      </c>
      <c r="B1" s="52" t="s">
        <v>89</v>
      </c>
      <c r="C1" s="52" t="s">
        <v>10</v>
      </c>
      <c r="D1" s="52" t="s">
        <v>11</v>
      </c>
      <c r="E1" s="52" t="s">
        <v>12</v>
      </c>
      <c r="F1" s="52" t="s">
        <v>13</v>
      </c>
      <c r="G1" s="52" t="s">
        <v>14</v>
      </c>
      <c r="H1" s="52" t="s">
        <v>15</v>
      </c>
      <c r="I1" s="52" t="s">
        <v>16</v>
      </c>
      <c r="J1" s="52" t="s">
        <v>17</v>
      </c>
      <c r="K1" s="52" t="s">
        <v>35</v>
      </c>
      <c r="L1" s="53" t="s">
        <v>90</v>
      </c>
      <c r="M1" s="54"/>
      <c r="N1" s="54"/>
      <c r="O1" s="54"/>
      <c r="P1" s="54"/>
      <c r="Q1" s="54"/>
      <c r="R1" s="54"/>
      <c r="S1" s="54"/>
      <c r="T1" s="54"/>
      <c r="U1" s="54"/>
      <c r="V1" s="54"/>
      <c r="W1" s="54"/>
      <c r="X1" s="54"/>
      <c r="Y1" s="54"/>
      <c r="Z1" s="54"/>
    </row>
    <row r="2">
      <c r="A2" s="55" t="s">
        <v>91</v>
      </c>
      <c r="B2" s="55" t="s">
        <v>92</v>
      </c>
      <c r="C2" s="55" t="s">
        <v>31</v>
      </c>
      <c r="D2" s="55" t="s">
        <v>21</v>
      </c>
      <c r="E2" s="55">
        <v>1036.09</v>
      </c>
      <c r="F2" s="55">
        <v>4.0</v>
      </c>
      <c r="G2" s="55">
        <v>0.2</v>
      </c>
      <c r="H2" s="56">
        <v>45392.0</v>
      </c>
      <c r="I2" s="55">
        <v>331.55</v>
      </c>
      <c r="J2" s="55">
        <f t="shared" ref="J2:J201" si="1">SUMIF(B:B,B2,E:E)</f>
        <v>6255.7</v>
      </c>
      <c r="K2" s="55" t="str">
        <f t="shared" ref="K2:K201" si="2">TEXT(H2,"MMM-YYYY")</f>
        <v>Apr-2024</v>
      </c>
      <c r="L2" s="57">
        <f t="shared" ref="L2:L201" si="3">NOW()</f>
        <v>46171.25354</v>
      </c>
    </row>
    <row r="3">
      <c r="A3" s="55" t="s">
        <v>93</v>
      </c>
      <c r="B3" s="55" t="s">
        <v>8</v>
      </c>
      <c r="C3" s="55" t="s">
        <v>31</v>
      </c>
      <c r="D3" s="55" t="s">
        <v>22</v>
      </c>
      <c r="E3" s="55">
        <v>1101.28</v>
      </c>
      <c r="F3" s="55">
        <v>3.0</v>
      </c>
      <c r="G3" s="55">
        <v>0.2</v>
      </c>
      <c r="H3" s="56">
        <v>45393.0</v>
      </c>
      <c r="I3" s="55">
        <v>440.51</v>
      </c>
      <c r="J3" s="55">
        <f t="shared" si="1"/>
        <v>8331.85</v>
      </c>
      <c r="K3" s="55" t="str">
        <f t="shared" si="2"/>
        <v>Apr-2024</v>
      </c>
      <c r="L3" s="57">
        <f t="shared" si="3"/>
        <v>46171.25354</v>
      </c>
    </row>
    <row r="4">
      <c r="A4" s="55" t="s">
        <v>94</v>
      </c>
      <c r="B4" s="55" t="s">
        <v>95</v>
      </c>
      <c r="C4" s="55" t="s">
        <v>28</v>
      </c>
      <c r="D4" s="55" t="s">
        <v>21</v>
      </c>
      <c r="E4" s="55">
        <v>713.34</v>
      </c>
      <c r="F4" s="55">
        <v>17.0</v>
      </c>
      <c r="G4" s="55">
        <v>0.0</v>
      </c>
      <c r="H4" s="56">
        <v>45396.0</v>
      </c>
      <c r="I4" s="55">
        <v>285.34</v>
      </c>
      <c r="J4" s="55">
        <f t="shared" si="1"/>
        <v>5615.28</v>
      </c>
      <c r="K4" s="55" t="str">
        <f t="shared" si="2"/>
        <v>Apr-2024</v>
      </c>
      <c r="L4" s="57">
        <f t="shared" si="3"/>
        <v>46171.25354</v>
      </c>
    </row>
    <row r="5">
      <c r="A5" s="55" t="s">
        <v>96</v>
      </c>
      <c r="B5" s="55" t="s">
        <v>8</v>
      </c>
      <c r="C5" s="55" t="s">
        <v>30</v>
      </c>
      <c r="D5" s="55" t="s">
        <v>23</v>
      </c>
      <c r="E5" s="55">
        <v>760.93</v>
      </c>
      <c r="F5" s="55">
        <v>4.0</v>
      </c>
      <c r="G5" s="55">
        <v>0.15</v>
      </c>
      <c r="H5" s="56">
        <v>45396.0</v>
      </c>
      <c r="I5" s="55">
        <v>161.7</v>
      </c>
      <c r="J5" s="55">
        <f t="shared" si="1"/>
        <v>8331.85</v>
      </c>
      <c r="K5" s="55" t="str">
        <f t="shared" si="2"/>
        <v>Apr-2024</v>
      </c>
      <c r="L5" s="57">
        <f t="shared" si="3"/>
        <v>46171.25354</v>
      </c>
    </row>
    <row r="6">
      <c r="A6" s="55" t="s">
        <v>97</v>
      </c>
      <c r="B6" s="55" t="s">
        <v>98</v>
      </c>
      <c r="C6" s="55" t="s">
        <v>29</v>
      </c>
      <c r="D6" s="55" t="s">
        <v>21</v>
      </c>
      <c r="E6" s="55">
        <v>847.0</v>
      </c>
      <c r="F6" s="55">
        <v>12.0</v>
      </c>
      <c r="G6" s="55">
        <v>0.2</v>
      </c>
      <c r="H6" s="56">
        <v>45397.0</v>
      </c>
      <c r="I6" s="55">
        <v>271.04</v>
      </c>
      <c r="J6" s="55">
        <f t="shared" si="1"/>
        <v>20774.74</v>
      </c>
      <c r="K6" s="55" t="str">
        <f t="shared" si="2"/>
        <v>Apr-2024</v>
      </c>
      <c r="L6" s="57">
        <f t="shared" si="3"/>
        <v>46171.25354</v>
      </c>
    </row>
    <row r="7">
      <c r="A7" s="55" t="s">
        <v>99</v>
      </c>
      <c r="B7" s="55" t="s">
        <v>100</v>
      </c>
      <c r="C7" s="55" t="s">
        <v>29</v>
      </c>
      <c r="D7" s="55" t="s">
        <v>24</v>
      </c>
      <c r="E7" s="55">
        <v>965.64</v>
      </c>
      <c r="F7" s="55">
        <v>8.0</v>
      </c>
      <c r="G7" s="55">
        <v>0.1</v>
      </c>
      <c r="H7" s="56">
        <v>45398.0</v>
      </c>
      <c r="I7" s="55">
        <v>304.18</v>
      </c>
      <c r="J7" s="55">
        <f t="shared" si="1"/>
        <v>7881.9</v>
      </c>
      <c r="K7" s="55" t="str">
        <f t="shared" si="2"/>
        <v>Apr-2024</v>
      </c>
      <c r="L7" s="57">
        <f t="shared" si="3"/>
        <v>46171.25354</v>
      </c>
    </row>
    <row r="8">
      <c r="A8" s="55" t="s">
        <v>101</v>
      </c>
      <c r="B8" s="55" t="s">
        <v>102</v>
      </c>
      <c r="C8" s="55" t="s">
        <v>31</v>
      </c>
      <c r="D8" s="55" t="s">
        <v>23</v>
      </c>
      <c r="E8" s="55">
        <v>1317.53</v>
      </c>
      <c r="F8" s="55">
        <v>12.0</v>
      </c>
      <c r="G8" s="55">
        <v>0.05</v>
      </c>
      <c r="H8" s="56">
        <v>45398.0</v>
      </c>
      <c r="I8" s="55">
        <v>312.91</v>
      </c>
      <c r="J8" s="55">
        <f t="shared" si="1"/>
        <v>9970.2</v>
      </c>
      <c r="K8" s="55" t="str">
        <f t="shared" si="2"/>
        <v>Apr-2024</v>
      </c>
      <c r="L8" s="57">
        <f t="shared" si="3"/>
        <v>46171.25354</v>
      </c>
    </row>
    <row r="9">
      <c r="A9" s="55" t="s">
        <v>103</v>
      </c>
      <c r="B9" s="55" t="s">
        <v>104</v>
      </c>
      <c r="C9" s="55" t="s">
        <v>28</v>
      </c>
      <c r="D9" s="55" t="s">
        <v>24</v>
      </c>
      <c r="E9" s="55">
        <v>1074.47</v>
      </c>
      <c r="F9" s="55">
        <v>6.0</v>
      </c>
      <c r="G9" s="55">
        <v>0.2</v>
      </c>
      <c r="H9" s="56">
        <v>45401.0</v>
      </c>
      <c r="I9" s="55">
        <v>300.85</v>
      </c>
      <c r="J9" s="55">
        <f t="shared" si="1"/>
        <v>17143.29</v>
      </c>
      <c r="K9" s="55" t="str">
        <f t="shared" si="2"/>
        <v>Apr-2024</v>
      </c>
      <c r="L9" s="57">
        <f t="shared" si="3"/>
        <v>46171.25354</v>
      </c>
    </row>
    <row r="10">
      <c r="A10" s="55" t="s">
        <v>105</v>
      </c>
      <c r="B10" s="55" t="s">
        <v>106</v>
      </c>
      <c r="C10" s="55" t="s">
        <v>27</v>
      </c>
      <c r="D10" s="55" t="s">
        <v>21</v>
      </c>
      <c r="E10" s="55">
        <v>501.54</v>
      </c>
      <c r="F10" s="55">
        <v>11.0</v>
      </c>
      <c r="G10" s="55">
        <v>0.05</v>
      </c>
      <c r="H10" s="56">
        <v>45401.0</v>
      </c>
      <c r="I10" s="55">
        <v>190.59</v>
      </c>
      <c r="J10" s="55">
        <f t="shared" si="1"/>
        <v>3968.59</v>
      </c>
      <c r="K10" s="55" t="str">
        <f t="shared" si="2"/>
        <v>Apr-2024</v>
      </c>
      <c r="L10" s="57">
        <f t="shared" si="3"/>
        <v>46171.25354</v>
      </c>
    </row>
    <row r="11">
      <c r="A11" s="55" t="s">
        <v>107</v>
      </c>
      <c r="B11" s="55" t="s">
        <v>108</v>
      </c>
      <c r="C11" s="55" t="s">
        <v>27</v>
      </c>
      <c r="D11" s="55" t="s">
        <v>22</v>
      </c>
      <c r="E11" s="55">
        <v>737.31</v>
      </c>
      <c r="F11" s="55">
        <v>2.0</v>
      </c>
      <c r="G11" s="55">
        <v>0.05</v>
      </c>
      <c r="H11" s="56">
        <v>45401.0</v>
      </c>
      <c r="I11" s="55">
        <v>350.22</v>
      </c>
      <c r="J11" s="55">
        <f t="shared" si="1"/>
        <v>7020.38</v>
      </c>
      <c r="K11" s="55" t="str">
        <f t="shared" si="2"/>
        <v>Apr-2024</v>
      </c>
      <c r="L11" s="57">
        <f t="shared" si="3"/>
        <v>46171.25354</v>
      </c>
    </row>
    <row r="12">
      <c r="A12" s="55" t="s">
        <v>109</v>
      </c>
      <c r="B12" s="55" t="s">
        <v>110</v>
      </c>
      <c r="C12" s="55" t="s">
        <v>31</v>
      </c>
      <c r="D12" s="55" t="s">
        <v>25</v>
      </c>
      <c r="E12" s="55">
        <v>1572.82</v>
      </c>
      <c r="F12" s="55">
        <v>6.0</v>
      </c>
      <c r="G12" s="55">
        <v>0.05</v>
      </c>
      <c r="H12" s="56">
        <v>45402.0</v>
      </c>
      <c r="I12" s="55">
        <v>672.38</v>
      </c>
      <c r="J12" s="55">
        <f t="shared" si="1"/>
        <v>11398.32</v>
      </c>
      <c r="K12" s="55" t="str">
        <f t="shared" si="2"/>
        <v>Apr-2024</v>
      </c>
      <c r="L12" s="57">
        <f t="shared" si="3"/>
        <v>46171.25354</v>
      </c>
    </row>
    <row r="13">
      <c r="A13" s="55" t="s">
        <v>109</v>
      </c>
      <c r="B13" s="55" t="s">
        <v>108</v>
      </c>
      <c r="C13" s="55" t="s">
        <v>27</v>
      </c>
      <c r="D13" s="55" t="s">
        <v>21</v>
      </c>
      <c r="E13" s="55">
        <v>1343.13</v>
      </c>
      <c r="F13" s="55">
        <v>14.0</v>
      </c>
      <c r="G13" s="55">
        <v>0.15</v>
      </c>
      <c r="H13" s="56">
        <v>45404.0</v>
      </c>
      <c r="I13" s="55">
        <v>456.66</v>
      </c>
      <c r="J13" s="55">
        <f t="shared" si="1"/>
        <v>7020.38</v>
      </c>
      <c r="K13" s="55" t="str">
        <f t="shared" si="2"/>
        <v>Apr-2024</v>
      </c>
      <c r="L13" s="57">
        <f t="shared" si="3"/>
        <v>46171.25354</v>
      </c>
    </row>
    <row r="14">
      <c r="A14" s="55" t="s">
        <v>99</v>
      </c>
      <c r="B14" s="55" t="s">
        <v>100</v>
      </c>
      <c r="C14" s="55" t="s">
        <v>27</v>
      </c>
      <c r="D14" s="55" t="s">
        <v>21</v>
      </c>
      <c r="E14" s="55">
        <v>1191.58</v>
      </c>
      <c r="F14" s="55">
        <v>14.0</v>
      </c>
      <c r="G14" s="55">
        <v>0.05</v>
      </c>
      <c r="H14" s="56">
        <v>45406.0</v>
      </c>
      <c r="I14" s="55">
        <v>452.8</v>
      </c>
      <c r="J14" s="55">
        <f t="shared" si="1"/>
        <v>7881.9</v>
      </c>
      <c r="K14" s="55" t="str">
        <f t="shared" si="2"/>
        <v>Apr-2024</v>
      </c>
      <c r="L14" s="57">
        <f t="shared" si="3"/>
        <v>46171.25354</v>
      </c>
    </row>
    <row r="15">
      <c r="A15" s="55" t="s">
        <v>111</v>
      </c>
      <c r="B15" s="55" t="s">
        <v>8</v>
      </c>
      <c r="C15" s="55" t="s">
        <v>31</v>
      </c>
      <c r="D15" s="55" t="s">
        <v>24</v>
      </c>
      <c r="E15" s="55">
        <v>822.28</v>
      </c>
      <c r="F15" s="55">
        <v>7.0</v>
      </c>
      <c r="G15" s="55">
        <v>0.05</v>
      </c>
      <c r="H15" s="56">
        <v>45406.0</v>
      </c>
      <c r="I15" s="55">
        <v>273.41</v>
      </c>
      <c r="J15" s="55">
        <f t="shared" si="1"/>
        <v>8331.85</v>
      </c>
      <c r="K15" s="55" t="str">
        <f t="shared" si="2"/>
        <v>Apr-2024</v>
      </c>
      <c r="L15" s="57">
        <f t="shared" si="3"/>
        <v>46171.25354</v>
      </c>
    </row>
    <row r="16">
      <c r="A16" s="55" t="s">
        <v>112</v>
      </c>
      <c r="B16" s="55" t="s">
        <v>113</v>
      </c>
      <c r="C16" s="55" t="s">
        <v>29</v>
      </c>
      <c r="D16" s="55" t="s">
        <v>24</v>
      </c>
      <c r="E16" s="55">
        <v>521.67</v>
      </c>
      <c r="F16" s="55">
        <v>15.0</v>
      </c>
      <c r="G16" s="55">
        <v>0.15</v>
      </c>
      <c r="H16" s="56">
        <v>45409.0</v>
      </c>
      <c r="I16" s="55">
        <v>155.2</v>
      </c>
      <c r="J16" s="55">
        <f t="shared" si="1"/>
        <v>1672.88</v>
      </c>
      <c r="K16" s="55" t="str">
        <f t="shared" si="2"/>
        <v>Apr-2024</v>
      </c>
      <c r="L16" s="57">
        <f t="shared" si="3"/>
        <v>46171.25354</v>
      </c>
    </row>
    <row r="17">
      <c r="A17" s="55" t="s">
        <v>96</v>
      </c>
      <c r="B17" s="55" t="s">
        <v>114</v>
      </c>
      <c r="C17" s="55" t="s">
        <v>30</v>
      </c>
      <c r="D17" s="55" t="s">
        <v>23</v>
      </c>
      <c r="E17" s="55">
        <v>1502.93</v>
      </c>
      <c r="F17" s="55">
        <v>14.0</v>
      </c>
      <c r="G17" s="55">
        <v>0.2</v>
      </c>
      <c r="H17" s="56">
        <v>45410.0</v>
      </c>
      <c r="I17" s="55">
        <v>300.59</v>
      </c>
      <c r="J17" s="55">
        <f t="shared" si="1"/>
        <v>7296.19</v>
      </c>
      <c r="K17" s="55" t="str">
        <f t="shared" si="2"/>
        <v>Apr-2024</v>
      </c>
      <c r="L17" s="57">
        <f t="shared" si="3"/>
        <v>46171.25354</v>
      </c>
    </row>
    <row r="18">
      <c r="A18" s="55" t="s">
        <v>115</v>
      </c>
      <c r="B18" s="55" t="s">
        <v>8</v>
      </c>
      <c r="C18" s="55" t="s">
        <v>30</v>
      </c>
      <c r="D18" s="55" t="s">
        <v>21</v>
      </c>
      <c r="E18" s="55">
        <v>877.58</v>
      </c>
      <c r="F18" s="55">
        <v>10.0</v>
      </c>
      <c r="G18" s="55">
        <v>0.15</v>
      </c>
      <c r="H18" s="56">
        <v>45411.0</v>
      </c>
      <c r="I18" s="55">
        <v>298.38</v>
      </c>
      <c r="J18" s="55">
        <f t="shared" si="1"/>
        <v>8331.85</v>
      </c>
      <c r="K18" s="55" t="str">
        <f t="shared" si="2"/>
        <v>Apr-2024</v>
      </c>
      <c r="L18" s="57">
        <f t="shared" si="3"/>
        <v>46171.25354</v>
      </c>
    </row>
    <row r="19">
      <c r="A19" s="55" t="s">
        <v>101</v>
      </c>
      <c r="B19" s="55" t="s">
        <v>116</v>
      </c>
      <c r="C19" s="55" t="s">
        <v>31</v>
      </c>
      <c r="D19" s="55" t="s">
        <v>21</v>
      </c>
      <c r="E19" s="55">
        <v>636.7</v>
      </c>
      <c r="F19" s="55">
        <v>4.0</v>
      </c>
      <c r="G19" s="55">
        <v>0.2</v>
      </c>
      <c r="H19" s="56">
        <v>45411.0</v>
      </c>
      <c r="I19" s="55">
        <v>203.74</v>
      </c>
      <c r="J19" s="55">
        <f t="shared" si="1"/>
        <v>8635.95</v>
      </c>
      <c r="K19" s="55" t="str">
        <f t="shared" si="2"/>
        <v>Apr-2024</v>
      </c>
      <c r="L19" s="57">
        <f t="shared" si="3"/>
        <v>46171.25354</v>
      </c>
    </row>
    <row r="20">
      <c r="A20" s="55" t="s">
        <v>117</v>
      </c>
      <c r="B20" s="55" t="s">
        <v>118</v>
      </c>
      <c r="C20" s="55" t="s">
        <v>31</v>
      </c>
      <c r="D20" s="55" t="s">
        <v>21</v>
      </c>
      <c r="E20" s="55">
        <v>1506.14</v>
      </c>
      <c r="F20" s="55">
        <v>13.0</v>
      </c>
      <c r="G20" s="55">
        <v>0.2</v>
      </c>
      <c r="H20" s="56">
        <v>45412.0</v>
      </c>
      <c r="I20" s="55">
        <v>481.96</v>
      </c>
      <c r="J20" s="55">
        <f t="shared" si="1"/>
        <v>7251.18</v>
      </c>
      <c r="K20" s="55" t="str">
        <f t="shared" si="2"/>
        <v>Apr-2024</v>
      </c>
      <c r="L20" s="57">
        <f t="shared" si="3"/>
        <v>46171.25354</v>
      </c>
    </row>
    <row r="21" ht="15.75" customHeight="1">
      <c r="A21" s="55" t="s">
        <v>103</v>
      </c>
      <c r="B21" s="55" t="s">
        <v>104</v>
      </c>
      <c r="C21" s="55" t="s">
        <v>27</v>
      </c>
      <c r="D21" s="55" t="s">
        <v>23</v>
      </c>
      <c r="E21" s="55">
        <v>645.02</v>
      </c>
      <c r="F21" s="55">
        <v>4.0</v>
      </c>
      <c r="G21" s="55">
        <v>0.0</v>
      </c>
      <c r="H21" s="56">
        <v>45414.0</v>
      </c>
      <c r="I21" s="55">
        <v>161.26</v>
      </c>
      <c r="J21" s="55">
        <f t="shared" si="1"/>
        <v>17143.29</v>
      </c>
      <c r="K21" s="55" t="str">
        <f t="shared" si="2"/>
        <v>May-2024</v>
      </c>
      <c r="L21" s="57">
        <f t="shared" si="3"/>
        <v>46171.25354</v>
      </c>
    </row>
    <row r="22" ht="15.75" customHeight="1">
      <c r="A22" s="55" t="s">
        <v>99</v>
      </c>
      <c r="B22" s="55" t="s">
        <v>119</v>
      </c>
      <c r="C22" s="55" t="s">
        <v>30</v>
      </c>
      <c r="D22" s="55" t="s">
        <v>22</v>
      </c>
      <c r="E22" s="55">
        <v>953.3</v>
      </c>
      <c r="F22" s="55">
        <v>11.0</v>
      </c>
      <c r="G22" s="55">
        <v>0.0</v>
      </c>
      <c r="H22" s="56">
        <v>45415.0</v>
      </c>
      <c r="I22" s="55">
        <v>476.65</v>
      </c>
      <c r="J22" s="55">
        <f t="shared" si="1"/>
        <v>8090.12</v>
      </c>
      <c r="K22" s="55" t="str">
        <f t="shared" si="2"/>
        <v>May-2024</v>
      </c>
      <c r="L22" s="57">
        <f t="shared" si="3"/>
        <v>46171.25354</v>
      </c>
    </row>
    <row r="23" ht="15.75" customHeight="1">
      <c r="A23" s="55" t="s">
        <v>120</v>
      </c>
      <c r="B23" s="55" t="s">
        <v>8</v>
      </c>
      <c r="C23" s="55" t="s">
        <v>29</v>
      </c>
      <c r="D23" s="55" t="s">
        <v>23</v>
      </c>
      <c r="E23" s="55">
        <v>388.56</v>
      </c>
      <c r="F23" s="55">
        <v>14.0</v>
      </c>
      <c r="G23" s="55">
        <v>0.15</v>
      </c>
      <c r="H23" s="56">
        <v>45416.0</v>
      </c>
      <c r="I23" s="55">
        <v>82.57</v>
      </c>
      <c r="J23" s="55">
        <f t="shared" si="1"/>
        <v>8331.85</v>
      </c>
      <c r="K23" s="55" t="str">
        <f t="shared" si="2"/>
        <v>May-2024</v>
      </c>
      <c r="L23" s="57">
        <f t="shared" si="3"/>
        <v>46171.25354</v>
      </c>
    </row>
    <row r="24" ht="15.75" customHeight="1">
      <c r="A24" s="55" t="s">
        <v>91</v>
      </c>
      <c r="B24" s="55" t="s">
        <v>104</v>
      </c>
      <c r="C24" s="55" t="s">
        <v>31</v>
      </c>
      <c r="D24" s="55" t="s">
        <v>21</v>
      </c>
      <c r="E24" s="55">
        <v>743.17</v>
      </c>
      <c r="F24" s="55">
        <v>9.0</v>
      </c>
      <c r="G24" s="55">
        <v>0.0</v>
      </c>
      <c r="H24" s="56">
        <v>45416.0</v>
      </c>
      <c r="I24" s="55">
        <v>297.27</v>
      </c>
      <c r="J24" s="55">
        <f t="shared" si="1"/>
        <v>17143.29</v>
      </c>
      <c r="K24" s="55" t="str">
        <f t="shared" si="2"/>
        <v>May-2024</v>
      </c>
      <c r="L24" s="57">
        <f t="shared" si="3"/>
        <v>46171.25354</v>
      </c>
    </row>
    <row r="25" ht="15.75" customHeight="1">
      <c r="A25" s="55" t="s">
        <v>111</v>
      </c>
      <c r="B25" s="55" t="s">
        <v>104</v>
      </c>
      <c r="C25" s="55" t="s">
        <v>27</v>
      </c>
      <c r="D25" s="55" t="s">
        <v>23</v>
      </c>
      <c r="E25" s="55">
        <v>706.37</v>
      </c>
      <c r="F25" s="55">
        <v>6.0</v>
      </c>
      <c r="G25" s="55">
        <v>0.0</v>
      </c>
      <c r="H25" s="56">
        <v>45416.0</v>
      </c>
      <c r="I25" s="55">
        <v>176.59</v>
      </c>
      <c r="J25" s="55">
        <f t="shared" si="1"/>
        <v>17143.29</v>
      </c>
      <c r="K25" s="55" t="str">
        <f t="shared" si="2"/>
        <v>May-2024</v>
      </c>
      <c r="L25" s="57">
        <f t="shared" si="3"/>
        <v>46171.25354</v>
      </c>
    </row>
    <row r="26" ht="15.75" customHeight="1">
      <c r="A26" s="55" t="s">
        <v>93</v>
      </c>
      <c r="B26" s="55" t="s">
        <v>104</v>
      </c>
      <c r="C26" s="55" t="s">
        <v>27</v>
      </c>
      <c r="D26" s="55" t="s">
        <v>25</v>
      </c>
      <c r="E26" s="55">
        <v>925.31</v>
      </c>
      <c r="F26" s="55">
        <v>8.0</v>
      </c>
      <c r="G26" s="55">
        <v>0.1</v>
      </c>
      <c r="H26" s="56">
        <v>45418.0</v>
      </c>
      <c r="I26" s="55">
        <v>374.75</v>
      </c>
      <c r="J26" s="55">
        <f t="shared" si="1"/>
        <v>17143.29</v>
      </c>
      <c r="K26" s="55" t="str">
        <f t="shared" si="2"/>
        <v>May-2024</v>
      </c>
      <c r="L26" s="57">
        <f t="shared" si="3"/>
        <v>46171.25354</v>
      </c>
    </row>
    <row r="27" ht="15.75" customHeight="1">
      <c r="A27" s="55" t="s">
        <v>107</v>
      </c>
      <c r="B27" s="55" t="s">
        <v>121</v>
      </c>
      <c r="C27" s="55" t="s">
        <v>30</v>
      </c>
      <c r="D27" s="55" t="s">
        <v>23</v>
      </c>
      <c r="E27" s="55">
        <v>1173.12</v>
      </c>
      <c r="F27" s="55">
        <v>18.0</v>
      </c>
      <c r="G27" s="55">
        <v>0.0</v>
      </c>
      <c r="H27" s="56">
        <v>45418.0</v>
      </c>
      <c r="I27" s="55">
        <v>293.28</v>
      </c>
      <c r="J27" s="55">
        <f t="shared" si="1"/>
        <v>5801.29</v>
      </c>
      <c r="K27" s="55" t="str">
        <f t="shared" si="2"/>
        <v>May-2024</v>
      </c>
      <c r="L27" s="57">
        <f t="shared" si="3"/>
        <v>46171.25354</v>
      </c>
    </row>
    <row r="28" ht="15.75" customHeight="1">
      <c r="A28" s="55" t="s">
        <v>97</v>
      </c>
      <c r="B28" s="55" t="s">
        <v>122</v>
      </c>
      <c r="C28" s="55" t="s">
        <v>29</v>
      </c>
      <c r="D28" s="55" t="s">
        <v>24</v>
      </c>
      <c r="E28" s="55">
        <v>675.54</v>
      </c>
      <c r="F28" s="55">
        <v>17.0</v>
      </c>
      <c r="G28" s="55">
        <v>0.0</v>
      </c>
      <c r="H28" s="56">
        <v>45420.0</v>
      </c>
      <c r="I28" s="55">
        <v>236.44</v>
      </c>
      <c r="J28" s="55">
        <f t="shared" si="1"/>
        <v>1450.99</v>
      </c>
      <c r="K28" s="55" t="str">
        <f t="shared" si="2"/>
        <v>May-2024</v>
      </c>
      <c r="L28" s="57">
        <f t="shared" si="3"/>
        <v>46171.25354</v>
      </c>
    </row>
    <row r="29" ht="15.75" customHeight="1">
      <c r="A29" s="55" t="s">
        <v>99</v>
      </c>
      <c r="B29" s="55" t="s">
        <v>8</v>
      </c>
      <c r="C29" s="55" t="s">
        <v>27</v>
      </c>
      <c r="D29" s="55" t="s">
        <v>21</v>
      </c>
      <c r="E29" s="55">
        <v>939.09</v>
      </c>
      <c r="F29" s="55">
        <v>2.0</v>
      </c>
      <c r="G29" s="55">
        <v>0.05</v>
      </c>
      <c r="H29" s="56">
        <v>45422.0</v>
      </c>
      <c r="I29" s="55">
        <v>356.85</v>
      </c>
      <c r="J29" s="55">
        <f t="shared" si="1"/>
        <v>8331.85</v>
      </c>
      <c r="K29" s="55" t="str">
        <f t="shared" si="2"/>
        <v>May-2024</v>
      </c>
      <c r="L29" s="57">
        <f t="shared" si="3"/>
        <v>46171.25354</v>
      </c>
    </row>
    <row r="30" ht="15.75" customHeight="1">
      <c r="A30" s="55" t="s">
        <v>123</v>
      </c>
      <c r="B30" s="55" t="s">
        <v>124</v>
      </c>
      <c r="C30" s="55" t="s">
        <v>28</v>
      </c>
      <c r="D30" s="55" t="s">
        <v>25</v>
      </c>
      <c r="E30" s="55">
        <v>983.34</v>
      </c>
      <c r="F30" s="55">
        <v>19.0</v>
      </c>
      <c r="G30" s="55">
        <v>0.1</v>
      </c>
      <c r="H30" s="56">
        <v>45426.0</v>
      </c>
      <c r="I30" s="55">
        <v>398.25</v>
      </c>
      <c r="J30" s="55">
        <f t="shared" si="1"/>
        <v>7522.77</v>
      </c>
      <c r="K30" s="55" t="str">
        <f t="shared" si="2"/>
        <v>May-2024</v>
      </c>
      <c r="L30" s="57">
        <f t="shared" si="3"/>
        <v>46171.25354</v>
      </c>
    </row>
    <row r="31" ht="15.75" customHeight="1">
      <c r="A31" s="55" t="s">
        <v>123</v>
      </c>
      <c r="B31" s="55" t="s">
        <v>98</v>
      </c>
      <c r="C31" s="55" t="s">
        <v>30</v>
      </c>
      <c r="D31" s="55" t="s">
        <v>23</v>
      </c>
      <c r="E31" s="55">
        <v>801.21</v>
      </c>
      <c r="F31" s="55">
        <v>3.0</v>
      </c>
      <c r="G31" s="55">
        <v>0.2</v>
      </c>
      <c r="H31" s="56">
        <v>45426.0</v>
      </c>
      <c r="I31" s="55">
        <v>160.24</v>
      </c>
      <c r="J31" s="55">
        <f t="shared" si="1"/>
        <v>20774.74</v>
      </c>
      <c r="K31" s="55" t="str">
        <f t="shared" si="2"/>
        <v>May-2024</v>
      </c>
      <c r="L31" s="57">
        <f t="shared" si="3"/>
        <v>46171.25354</v>
      </c>
    </row>
    <row r="32" ht="15.75" customHeight="1">
      <c r="A32" s="55" t="s">
        <v>125</v>
      </c>
      <c r="B32" s="55" t="s">
        <v>126</v>
      </c>
      <c r="C32" s="55" t="s">
        <v>29</v>
      </c>
      <c r="D32" s="55" t="s">
        <v>23</v>
      </c>
      <c r="E32" s="55">
        <v>1450.71</v>
      </c>
      <c r="F32" s="55">
        <v>5.0</v>
      </c>
      <c r="G32" s="55">
        <v>0.1</v>
      </c>
      <c r="H32" s="56">
        <v>45427.0</v>
      </c>
      <c r="I32" s="55">
        <v>326.41</v>
      </c>
      <c r="J32" s="55">
        <f t="shared" si="1"/>
        <v>11915.83</v>
      </c>
      <c r="K32" s="55" t="str">
        <f t="shared" si="2"/>
        <v>May-2024</v>
      </c>
      <c r="L32" s="57">
        <f t="shared" si="3"/>
        <v>46171.25354</v>
      </c>
    </row>
    <row r="33" ht="15.75" customHeight="1">
      <c r="A33" s="55" t="s">
        <v>120</v>
      </c>
      <c r="B33" s="55" t="s">
        <v>127</v>
      </c>
      <c r="C33" s="55" t="s">
        <v>27</v>
      </c>
      <c r="D33" s="55" t="s">
        <v>21</v>
      </c>
      <c r="E33" s="55">
        <v>1023.21</v>
      </c>
      <c r="F33" s="55">
        <v>18.0</v>
      </c>
      <c r="G33" s="55">
        <v>0.05</v>
      </c>
      <c r="H33" s="56">
        <v>45428.0</v>
      </c>
      <c r="I33" s="55">
        <v>388.82</v>
      </c>
      <c r="J33" s="55">
        <f t="shared" si="1"/>
        <v>3819.14</v>
      </c>
      <c r="K33" s="55" t="str">
        <f t="shared" si="2"/>
        <v>May-2024</v>
      </c>
      <c r="L33" s="57">
        <f t="shared" si="3"/>
        <v>46171.25354</v>
      </c>
    </row>
    <row r="34" ht="15.75" customHeight="1">
      <c r="A34" s="55" t="s">
        <v>101</v>
      </c>
      <c r="B34" s="55" t="s">
        <v>118</v>
      </c>
      <c r="C34" s="55" t="s">
        <v>31</v>
      </c>
      <c r="D34" s="55" t="s">
        <v>24</v>
      </c>
      <c r="E34" s="55">
        <v>853.72</v>
      </c>
      <c r="F34" s="55">
        <v>5.0</v>
      </c>
      <c r="G34" s="55">
        <v>0.15</v>
      </c>
      <c r="H34" s="56">
        <v>45428.0</v>
      </c>
      <c r="I34" s="55">
        <v>253.98</v>
      </c>
      <c r="J34" s="55">
        <f t="shared" si="1"/>
        <v>7251.18</v>
      </c>
      <c r="K34" s="55" t="str">
        <f t="shared" si="2"/>
        <v>May-2024</v>
      </c>
      <c r="L34" s="57">
        <f t="shared" si="3"/>
        <v>46171.25354</v>
      </c>
    </row>
    <row r="35" ht="15.75" customHeight="1">
      <c r="A35" s="55" t="s">
        <v>128</v>
      </c>
      <c r="B35" s="55" t="s">
        <v>114</v>
      </c>
      <c r="C35" s="55" t="s">
        <v>30</v>
      </c>
      <c r="D35" s="55" t="s">
        <v>23</v>
      </c>
      <c r="E35" s="55">
        <v>967.89</v>
      </c>
      <c r="F35" s="55">
        <v>10.0</v>
      </c>
      <c r="G35" s="55">
        <v>0.1</v>
      </c>
      <c r="H35" s="56">
        <v>45429.0</v>
      </c>
      <c r="I35" s="55">
        <v>217.78</v>
      </c>
      <c r="J35" s="55">
        <f t="shared" si="1"/>
        <v>7296.19</v>
      </c>
      <c r="K35" s="55" t="str">
        <f t="shared" si="2"/>
        <v>May-2024</v>
      </c>
      <c r="L35" s="57">
        <f t="shared" si="3"/>
        <v>46171.25354</v>
      </c>
    </row>
    <row r="36" ht="15.75" customHeight="1">
      <c r="A36" s="55" t="s">
        <v>129</v>
      </c>
      <c r="B36" s="55" t="s">
        <v>124</v>
      </c>
      <c r="C36" s="55" t="s">
        <v>29</v>
      </c>
      <c r="D36" s="55" t="s">
        <v>25</v>
      </c>
      <c r="E36" s="55">
        <v>1200.9</v>
      </c>
      <c r="F36" s="55">
        <v>14.0</v>
      </c>
      <c r="G36" s="55">
        <v>0.05</v>
      </c>
      <c r="H36" s="56">
        <v>45429.0</v>
      </c>
      <c r="I36" s="55">
        <v>513.38</v>
      </c>
      <c r="J36" s="55">
        <f t="shared" si="1"/>
        <v>7522.77</v>
      </c>
      <c r="K36" s="55" t="str">
        <f t="shared" si="2"/>
        <v>May-2024</v>
      </c>
      <c r="L36" s="57">
        <f t="shared" si="3"/>
        <v>46171.25354</v>
      </c>
    </row>
    <row r="37" ht="15.75" customHeight="1">
      <c r="A37" s="55" t="s">
        <v>93</v>
      </c>
      <c r="B37" s="55" t="s">
        <v>100</v>
      </c>
      <c r="C37" s="55" t="s">
        <v>31</v>
      </c>
      <c r="D37" s="55" t="s">
        <v>21</v>
      </c>
      <c r="E37" s="55">
        <v>472.38</v>
      </c>
      <c r="F37" s="55">
        <v>12.0</v>
      </c>
      <c r="G37" s="55">
        <v>0.2</v>
      </c>
      <c r="H37" s="56">
        <v>45429.0</v>
      </c>
      <c r="I37" s="55">
        <v>151.16</v>
      </c>
      <c r="J37" s="55">
        <f t="shared" si="1"/>
        <v>7881.9</v>
      </c>
      <c r="K37" s="55" t="str">
        <f t="shared" si="2"/>
        <v>May-2024</v>
      </c>
      <c r="L37" s="57">
        <f t="shared" si="3"/>
        <v>46171.25354</v>
      </c>
    </row>
    <row r="38" ht="15.75" customHeight="1">
      <c r="A38" s="55" t="s">
        <v>91</v>
      </c>
      <c r="B38" s="55" t="s">
        <v>126</v>
      </c>
      <c r="C38" s="55" t="s">
        <v>28</v>
      </c>
      <c r="D38" s="55" t="s">
        <v>25</v>
      </c>
      <c r="E38" s="55">
        <v>840.92</v>
      </c>
      <c r="F38" s="55">
        <v>9.0</v>
      </c>
      <c r="G38" s="55">
        <v>0.05</v>
      </c>
      <c r="H38" s="56">
        <v>45429.0</v>
      </c>
      <c r="I38" s="55">
        <v>359.49</v>
      </c>
      <c r="J38" s="55">
        <f t="shared" si="1"/>
        <v>11915.83</v>
      </c>
      <c r="K38" s="55" t="str">
        <f t="shared" si="2"/>
        <v>May-2024</v>
      </c>
      <c r="L38" s="57">
        <f t="shared" si="3"/>
        <v>46171.25354</v>
      </c>
    </row>
    <row r="39" ht="15.75" customHeight="1">
      <c r="A39" s="55" t="s">
        <v>123</v>
      </c>
      <c r="B39" s="55" t="s">
        <v>119</v>
      </c>
      <c r="C39" s="55" t="s">
        <v>27</v>
      </c>
      <c r="D39" s="55" t="s">
        <v>24</v>
      </c>
      <c r="E39" s="55">
        <v>1410.06</v>
      </c>
      <c r="F39" s="55">
        <v>11.0</v>
      </c>
      <c r="G39" s="55">
        <v>0.05</v>
      </c>
      <c r="H39" s="56">
        <v>45434.0</v>
      </c>
      <c r="I39" s="55">
        <v>468.84</v>
      </c>
      <c r="J39" s="55">
        <f t="shared" si="1"/>
        <v>8090.12</v>
      </c>
      <c r="K39" s="55" t="str">
        <f t="shared" si="2"/>
        <v>May-2024</v>
      </c>
      <c r="L39" s="57">
        <f t="shared" si="3"/>
        <v>46171.25354</v>
      </c>
    </row>
    <row r="40" ht="15.75" customHeight="1">
      <c r="A40" s="55" t="s">
        <v>115</v>
      </c>
      <c r="B40" s="55" t="s">
        <v>130</v>
      </c>
      <c r="C40" s="55" t="s">
        <v>27</v>
      </c>
      <c r="D40" s="55" t="s">
        <v>24</v>
      </c>
      <c r="E40" s="55">
        <v>773.09</v>
      </c>
      <c r="F40" s="55">
        <v>13.0</v>
      </c>
      <c r="G40" s="55">
        <v>0.15</v>
      </c>
      <c r="H40" s="56">
        <v>45434.0</v>
      </c>
      <c r="I40" s="55">
        <v>229.99</v>
      </c>
      <c r="J40" s="55">
        <f t="shared" si="1"/>
        <v>5443.34</v>
      </c>
      <c r="K40" s="55" t="str">
        <f t="shared" si="2"/>
        <v>May-2024</v>
      </c>
      <c r="L40" s="57">
        <f t="shared" si="3"/>
        <v>46171.25354</v>
      </c>
    </row>
    <row r="41" ht="15.75" customHeight="1">
      <c r="A41" s="55" t="s">
        <v>131</v>
      </c>
      <c r="B41" s="55" t="s">
        <v>132</v>
      </c>
      <c r="C41" s="55" t="s">
        <v>28</v>
      </c>
      <c r="D41" s="55" t="s">
        <v>21</v>
      </c>
      <c r="E41" s="55">
        <v>580.43</v>
      </c>
      <c r="F41" s="55">
        <v>19.0</v>
      </c>
      <c r="G41" s="55">
        <v>0.15</v>
      </c>
      <c r="H41" s="56">
        <v>45435.0</v>
      </c>
      <c r="I41" s="55">
        <v>197.35</v>
      </c>
      <c r="J41" s="55">
        <f t="shared" si="1"/>
        <v>8543.97</v>
      </c>
      <c r="K41" s="55" t="str">
        <f t="shared" si="2"/>
        <v>May-2024</v>
      </c>
      <c r="L41" s="57">
        <f t="shared" si="3"/>
        <v>46171.25354</v>
      </c>
    </row>
    <row r="42" ht="15.75" customHeight="1">
      <c r="A42" s="55" t="s">
        <v>96</v>
      </c>
      <c r="B42" s="55" t="s">
        <v>113</v>
      </c>
      <c r="C42" s="55" t="s">
        <v>30</v>
      </c>
      <c r="D42" s="55" t="s">
        <v>21</v>
      </c>
      <c r="E42" s="55">
        <v>1151.21</v>
      </c>
      <c r="F42" s="55">
        <v>15.0</v>
      </c>
      <c r="G42" s="55">
        <v>0.1</v>
      </c>
      <c r="H42" s="56">
        <v>45445.0</v>
      </c>
      <c r="I42" s="55">
        <v>414.44</v>
      </c>
      <c r="J42" s="55">
        <f t="shared" si="1"/>
        <v>1672.88</v>
      </c>
      <c r="K42" s="55" t="str">
        <f t="shared" si="2"/>
        <v>Jun-2024</v>
      </c>
      <c r="L42" s="57">
        <f t="shared" si="3"/>
        <v>46171.25354</v>
      </c>
    </row>
    <row r="43" ht="15.75" customHeight="1">
      <c r="A43" s="55" t="s">
        <v>123</v>
      </c>
      <c r="B43" s="55" t="s">
        <v>98</v>
      </c>
      <c r="C43" s="55" t="s">
        <v>27</v>
      </c>
      <c r="D43" s="55" t="s">
        <v>25</v>
      </c>
      <c r="E43" s="55">
        <v>1025.98</v>
      </c>
      <c r="F43" s="55">
        <v>5.0</v>
      </c>
      <c r="G43" s="55">
        <v>0.2</v>
      </c>
      <c r="H43" s="56">
        <v>45447.0</v>
      </c>
      <c r="I43" s="55">
        <v>369.35</v>
      </c>
      <c r="J43" s="55">
        <f t="shared" si="1"/>
        <v>20774.74</v>
      </c>
      <c r="K43" s="55" t="str">
        <f t="shared" si="2"/>
        <v>Jun-2024</v>
      </c>
      <c r="L43" s="57">
        <f t="shared" si="3"/>
        <v>46171.25354</v>
      </c>
    </row>
    <row r="44" ht="15.75" customHeight="1">
      <c r="A44" s="55" t="s">
        <v>111</v>
      </c>
      <c r="B44" s="55" t="s">
        <v>127</v>
      </c>
      <c r="C44" s="55" t="s">
        <v>28</v>
      </c>
      <c r="D44" s="55" t="s">
        <v>25</v>
      </c>
      <c r="E44" s="55">
        <v>556.42</v>
      </c>
      <c r="F44" s="55">
        <v>11.0</v>
      </c>
      <c r="G44" s="55">
        <v>0.15</v>
      </c>
      <c r="H44" s="56">
        <v>45447.0</v>
      </c>
      <c r="I44" s="55">
        <v>212.83</v>
      </c>
      <c r="J44" s="55">
        <f t="shared" si="1"/>
        <v>3819.14</v>
      </c>
      <c r="K44" s="55" t="str">
        <f t="shared" si="2"/>
        <v>Jun-2024</v>
      </c>
      <c r="L44" s="57">
        <f t="shared" si="3"/>
        <v>46171.25354</v>
      </c>
    </row>
    <row r="45" ht="15.75" customHeight="1">
      <c r="A45" s="55" t="s">
        <v>128</v>
      </c>
      <c r="B45" s="55" t="s">
        <v>98</v>
      </c>
      <c r="C45" s="55" t="s">
        <v>27</v>
      </c>
      <c r="D45" s="55" t="s">
        <v>21</v>
      </c>
      <c r="E45" s="55">
        <v>840.85</v>
      </c>
      <c r="F45" s="55">
        <v>19.0</v>
      </c>
      <c r="G45" s="55">
        <v>0.1</v>
      </c>
      <c r="H45" s="56">
        <v>45448.0</v>
      </c>
      <c r="I45" s="55">
        <v>302.71</v>
      </c>
      <c r="J45" s="55">
        <f t="shared" si="1"/>
        <v>20774.74</v>
      </c>
      <c r="K45" s="55" t="str">
        <f t="shared" si="2"/>
        <v>Jun-2024</v>
      </c>
      <c r="L45" s="57">
        <f t="shared" si="3"/>
        <v>46171.25354</v>
      </c>
    </row>
    <row r="46" ht="15.75" customHeight="1">
      <c r="A46" s="55" t="s">
        <v>103</v>
      </c>
      <c r="B46" s="55" t="s">
        <v>132</v>
      </c>
      <c r="C46" s="55" t="s">
        <v>29</v>
      </c>
      <c r="D46" s="55" t="s">
        <v>24</v>
      </c>
      <c r="E46" s="55">
        <v>1227.25</v>
      </c>
      <c r="F46" s="55">
        <v>12.0</v>
      </c>
      <c r="G46" s="55">
        <v>0.15</v>
      </c>
      <c r="H46" s="56">
        <v>45448.0</v>
      </c>
      <c r="I46" s="55">
        <v>365.11</v>
      </c>
      <c r="J46" s="55">
        <f t="shared" si="1"/>
        <v>8543.97</v>
      </c>
      <c r="K46" s="55" t="str">
        <f t="shared" si="2"/>
        <v>Jun-2024</v>
      </c>
      <c r="L46" s="57">
        <f t="shared" si="3"/>
        <v>46171.25354</v>
      </c>
    </row>
    <row r="47" ht="15.75" customHeight="1">
      <c r="A47" s="55" t="s">
        <v>94</v>
      </c>
      <c r="B47" s="55" t="s">
        <v>133</v>
      </c>
      <c r="C47" s="55" t="s">
        <v>27</v>
      </c>
      <c r="D47" s="55" t="s">
        <v>23</v>
      </c>
      <c r="E47" s="55">
        <v>856.7</v>
      </c>
      <c r="F47" s="55">
        <v>2.0</v>
      </c>
      <c r="G47" s="55">
        <v>0.0</v>
      </c>
      <c r="H47" s="56">
        <v>45449.0</v>
      </c>
      <c r="I47" s="55">
        <v>214.18</v>
      </c>
      <c r="J47" s="55">
        <f t="shared" si="1"/>
        <v>856.7</v>
      </c>
      <c r="K47" s="55" t="str">
        <f t="shared" si="2"/>
        <v>Jun-2024</v>
      </c>
      <c r="L47" s="57">
        <f t="shared" si="3"/>
        <v>46171.25354</v>
      </c>
    </row>
    <row r="48" ht="15.75" customHeight="1">
      <c r="A48" s="55" t="s">
        <v>125</v>
      </c>
      <c r="B48" s="55" t="s">
        <v>127</v>
      </c>
      <c r="C48" s="55" t="s">
        <v>27</v>
      </c>
      <c r="D48" s="55" t="s">
        <v>25</v>
      </c>
      <c r="E48" s="55">
        <v>1225.42</v>
      </c>
      <c r="F48" s="55">
        <v>8.0</v>
      </c>
      <c r="G48" s="55">
        <v>0.15</v>
      </c>
      <c r="H48" s="56">
        <v>45449.0</v>
      </c>
      <c r="I48" s="55">
        <v>468.72</v>
      </c>
      <c r="J48" s="55">
        <f t="shared" si="1"/>
        <v>3819.14</v>
      </c>
      <c r="K48" s="55" t="str">
        <f t="shared" si="2"/>
        <v>Jun-2024</v>
      </c>
      <c r="L48" s="57">
        <f t="shared" si="3"/>
        <v>46171.25354</v>
      </c>
    </row>
    <row r="49" ht="15.75" customHeight="1">
      <c r="A49" s="55" t="s">
        <v>134</v>
      </c>
      <c r="B49" s="55" t="s">
        <v>104</v>
      </c>
      <c r="C49" s="55" t="s">
        <v>29</v>
      </c>
      <c r="D49" s="55" t="s">
        <v>25</v>
      </c>
      <c r="E49" s="55">
        <v>1001.57</v>
      </c>
      <c r="F49" s="55">
        <v>12.0</v>
      </c>
      <c r="G49" s="55">
        <v>0.0</v>
      </c>
      <c r="H49" s="56">
        <v>45450.0</v>
      </c>
      <c r="I49" s="55">
        <v>450.71</v>
      </c>
      <c r="J49" s="55">
        <f t="shared" si="1"/>
        <v>17143.29</v>
      </c>
      <c r="K49" s="55" t="str">
        <f t="shared" si="2"/>
        <v>Jun-2024</v>
      </c>
      <c r="L49" s="57">
        <f t="shared" si="3"/>
        <v>46171.25354</v>
      </c>
    </row>
    <row r="50" ht="15.75" customHeight="1">
      <c r="A50" s="55" t="s">
        <v>128</v>
      </c>
      <c r="B50" s="55" t="s">
        <v>100</v>
      </c>
      <c r="C50" s="55" t="s">
        <v>28</v>
      </c>
      <c r="D50" s="55" t="s">
        <v>24</v>
      </c>
      <c r="E50" s="55">
        <v>1186.85</v>
      </c>
      <c r="F50" s="55">
        <v>19.0</v>
      </c>
      <c r="G50" s="55">
        <v>0.2</v>
      </c>
      <c r="H50" s="56">
        <v>45451.0</v>
      </c>
      <c r="I50" s="55">
        <v>332.32</v>
      </c>
      <c r="J50" s="55">
        <f t="shared" si="1"/>
        <v>7881.9</v>
      </c>
      <c r="K50" s="55" t="str">
        <f t="shared" si="2"/>
        <v>Jun-2024</v>
      </c>
      <c r="L50" s="57">
        <f t="shared" si="3"/>
        <v>46171.25354</v>
      </c>
    </row>
    <row r="51" ht="15.75" customHeight="1">
      <c r="A51" s="55" t="s">
        <v>115</v>
      </c>
      <c r="B51" s="55" t="s">
        <v>122</v>
      </c>
      <c r="C51" s="55" t="s">
        <v>30</v>
      </c>
      <c r="D51" s="55" t="s">
        <v>23</v>
      </c>
      <c r="E51" s="55">
        <v>775.45</v>
      </c>
      <c r="F51" s="55">
        <v>6.0</v>
      </c>
      <c r="G51" s="55">
        <v>0.1</v>
      </c>
      <c r="H51" s="56">
        <v>45457.0</v>
      </c>
      <c r="I51" s="55">
        <v>174.48</v>
      </c>
      <c r="J51" s="55">
        <f t="shared" si="1"/>
        <v>1450.99</v>
      </c>
      <c r="K51" s="55" t="str">
        <f t="shared" si="2"/>
        <v>Jun-2024</v>
      </c>
      <c r="L51" s="57">
        <f t="shared" si="3"/>
        <v>46171.25354</v>
      </c>
    </row>
    <row r="52" ht="15.75" customHeight="1">
      <c r="A52" s="55" t="s">
        <v>99</v>
      </c>
      <c r="B52" s="55" t="s">
        <v>106</v>
      </c>
      <c r="C52" s="55" t="s">
        <v>30</v>
      </c>
      <c r="D52" s="55" t="s">
        <v>23</v>
      </c>
      <c r="E52" s="55">
        <v>1021.47</v>
      </c>
      <c r="F52" s="55">
        <v>6.0</v>
      </c>
      <c r="G52" s="55">
        <v>0.05</v>
      </c>
      <c r="H52" s="56">
        <v>45461.0</v>
      </c>
      <c r="I52" s="55">
        <v>242.6</v>
      </c>
      <c r="J52" s="55">
        <f t="shared" si="1"/>
        <v>3968.59</v>
      </c>
      <c r="K52" s="55" t="str">
        <f t="shared" si="2"/>
        <v>Jun-2024</v>
      </c>
      <c r="L52" s="57">
        <f t="shared" si="3"/>
        <v>46171.25354</v>
      </c>
    </row>
    <row r="53" ht="15.75" customHeight="1">
      <c r="A53" s="55" t="s">
        <v>129</v>
      </c>
      <c r="B53" s="55" t="s">
        <v>98</v>
      </c>
      <c r="C53" s="55" t="s">
        <v>30</v>
      </c>
      <c r="D53" s="55" t="s">
        <v>22</v>
      </c>
      <c r="E53" s="55">
        <v>1226.62</v>
      </c>
      <c r="F53" s="55">
        <v>7.0</v>
      </c>
      <c r="G53" s="55">
        <v>0.1</v>
      </c>
      <c r="H53" s="56">
        <v>45463.0</v>
      </c>
      <c r="I53" s="55">
        <v>551.98</v>
      </c>
      <c r="J53" s="55">
        <f t="shared" si="1"/>
        <v>20774.74</v>
      </c>
      <c r="K53" s="55" t="str">
        <f t="shared" si="2"/>
        <v>Jun-2024</v>
      </c>
      <c r="L53" s="57">
        <f t="shared" si="3"/>
        <v>46171.25354</v>
      </c>
    </row>
    <row r="54" ht="15.75" customHeight="1">
      <c r="A54" s="55" t="s">
        <v>97</v>
      </c>
      <c r="B54" s="55" t="s">
        <v>135</v>
      </c>
      <c r="C54" s="55" t="s">
        <v>30</v>
      </c>
      <c r="D54" s="55" t="s">
        <v>24</v>
      </c>
      <c r="E54" s="55">
        <v>1086.93</v>
      </c>
      <c r="F54" s="55">
        <v>2.0</v>
      </c>
      <c r="G54" s="55">
        <v>0.0</v>
      </c>
      <c r="H54" s="56">
        <v>45464.0</v>
      </c>
      <c r="I54" s="55">
        <v>380.43</v>
      </c>
      <c r="J54" s="55">
        <f t="shared" si="1"/>
        <v>5771.59</v>
      </c>
      <c r="K54" s="55" t="str">
        <f t="shared" si="2"/>
        <v>Jun-2024</v>
      </c>
      <c r="L54" s="57">
        <f t="shared" si="3"/>
        <v>46171.25354</v>
      </c>
    </row>
    <row r="55" ht="15.75" customHeight="1">
      <c r="A55" s="55" t="s">
        <v>136</v>
      </c>
      <c r="B55" s="55" t="s">
        <v>119</v>
      </c>
      <c r="C55" s="55" t="s">
        <v>31</v>
      </c>
      <c r="D55" s="55" t="s">
        <v>21</v>
      </c>
      <c r="E55" s="55">
        <v>942.9</v>
      </c>
      <c r="F55" s="55">
        <v>18.0</v>
      </c>
      <c r="G55" s="55">
        <v>0.1</v>
      </c>
      <c r="H55" s="56">
        <v>45466.0</v>
      </c>
      <c r="I55" s="55">
        <v>339.44</v>
      </c>
      <c r="J55" s="55">
        <f t="shared" si="1"/>
        <v>8090.12</v>
      </c>
      <c r="K55" s="55" t="str">
        <f t="shared" si="2"/>
        <v>Jun-2024</v>
      </c>
      <c r="L55" s="57">
        <f t="shared" si="3"/>
        <v>46171.25354</v>
      </c>
    </row>
    <row r="56" ht="15.75" customHeight="1">
      <c r="A56" s="55" t="s">
        <v>105</v>
      </c>
      <c r="B56" s="55" t="s">
        <v>110</v>
      </c>
      <c r="C56" s="55" t="s">
        <v>29</v>
      </c>
      <c r="D56" s="55" t="s">
        <v>23</v>
      </c>
      <c r="E56" s="55">
        <v>818.8</v>
      </c>
      <c r="F56" s="55">
        <v>15.0</v>
      </c>
      <c r="G56" s="55">
        <v>0.15</v>
      </c>
      <c r="H56" s="56">
        <v>45468.0</v>
      </c>
      <c r="I56" s="55">
        <v>173.99</v>
      </c>
      <c r="J56" s="55">
        <f t="shared" si="1"/>
        <v>11398.32</v>
      </c>
      <c r="K56" s="55" t="str">
        <f t="shared" si="2"/>
        <v>Jun-2024</v>
      </c>
      <c r="L56" s="57">
        <f t="shared" si="3"/>
        <v>46171.25354</v>
      </c>
    </row>
    <row r="57" ht="15.75" customHeight="1">
      <c r="A57" s="55" t="s">
        <v>96</v>
      </c>
      <c r="B57" s="55" t="s">
        <v>8</v>
      </c>
      <c r="C57" s="55" t="s">
        <v>30</v>
      </c>
      <c r="D57" s="55" t="s">
        <v>24</v>
      </c>
      <c r="E57" s="55">
        <v>919.04</v>
      </c>
      <c r="F57" s="55">
        <v>10.0</v>
      </c>
      <c r="G57" s="55">
        <v>0.2</v>
      </c>
      <c r="H57" s="56">
        <v>45468.0</v>
      </c>
      <c r="I57" s="55">
        <v>257.33</v>
      </c>
      <c r="J57" s="55">
        <f t="shared" si="1"/>
        <v>8331.85</v>
      </c>
      <c r="K57" s="55" t="str">
        <f t="shared" si="2"/>
        <v>Jun-2024</v>
      </c>
      <c r="L57" s="57">
        <f t="shared" si="3"/>
        <v>46171.25354</v>
      </c>
    </row>
    <row r="58" ht="15.75" customHeight="1">
      <c r="A58" s="55" t="s">
        <v>97</v>
      </c>
      <c r="B58" s="55" t="s">
        <v>137</v>
      </c>
      <c r="C58" s="55" t="s">
        <v>27</v>
      </c>
      <c r="D58" s="55" t="s">
        <v>21</v>
      </c>
      <c r="E58" s="55">
        <v>973.26</v>
      </c>
      <c r="F58" s="55">
        <v>11.0</v>
      </c>
      <c r="G58" s="55">
        <v>0.0</v>
      </c>
      <c r="H58" s="56">
        <v>45470.0</v>
      </c>
      <c r="I58" s="55">
        <v>389.3</v>
      </c>
      <c r="J58" s="55">
        <f t="shared" si="1"/>
        <v>5014.96</v>
      </c>
      <c r="K58" s="55" t="str">
        <f t="shared" si="2"/>
        <v>Jun-2024</v>
      </c>
      <c r="L58" s="57">
        <f t="shared" si="3"/>
        <v>46171.25354</v>
      </c>
    </row>
    <row r="59" ht="15.75" customHeight="1">
      <c r="A59" s="55" t="s">
        <v>112</v>
      </c>
      <c r="B59" s="55" t="s">
        <v>135</v>
      </c>
      <c r="C59" s="55" t="s">
        <v>29</v>
      </c>
      <c r="D59" s="55" t="s">
        <v>23</v>
      </c>
      <c r="E59" s="55">
        <v>741.61</v>
      </c>
      <c r="F59" s="55">
        <v>1.0</v>
      </c>
      <c r="G59" s="55">
        <v>0.2</v>
      </c>
      <c r="H59" s="56">
        <v>45471.0</v>
      </c>
      <c r="I59" s="55">
        <v>148.32</v>
      </c>
      <c r="J59" s="55">
        <f t="shared" si="1"/>
        <v>5771.59</v>
      </c>
      <c r="K59" s="55" t="str">
        <f t="shared" si="2"/>
        <v>Jun-2024</v>
      </c>
      <c r="L59" s="57">
        <f t="shared" si="3"/>
        <v>46171.25354</v>
      </c>
    </row>
    <row r="60" ht="15.75" customHeight="1">
      <c r="A60" s="55" t="s">
        <v>138</v>
      </c>
      <c r="B60" s="55" t="s">
        <v>110</v>
      </c>
      <c r="C60" s="55" t="s">
        <v>29</v>
      </c>
      <c r="D60" s="55" t="s">
        <v>21</v>
      </c>
      <c r="E60" s="55">
        <v>1248.82</v>
      </c>
      <c r="F60" s="55">
        <v>2.0</v>
      </c>
      <c r="G60" s="55">
        <v>0.1</v>
      </c>
      <c r="H60" s="56">
        <v>45473.0</v>
      </c>
      <c r="I60" s="55">
        <v>449.58</v>
      </c>
      <c r="J60" s="55">
        <f t="shared" si="1"/>
        <v>11398.32</v>
      </c>
      <c r="K60" s="55" t="str">
        <f t="shared" si="2"/>
        <v>Jun-2024</v>
      </c>
      <c r="L60" s="57">
        <f t="shared" si="3"/>
        <v>46171.25354</v>
      </c>
    </row>
    <row r="61" ht="15.75" customHeight="1">
      <c r="A61" s="55" t="s">
        <v>93</v>
      </c>
      <c r="B61" s="55" t="s">
        <v>130</v>
      </c>
      <c r="C61" s="55" t="s">
        <v>31</v>
      </c>
      <c r="D61" s="55" t="s">
        <v>22</v>
      </c>
      <c r="E61" s="55">
        <v>1360.36</v>
      </c>
      <c r="F61" s="55">
        <v>17.0</v>
      </c>
      <c r="G61" s="55">
        <v>0.0</v>
      </c>
      <c r="H61" s="56">
        <v>45473.0</v>
      </c>
      <c r="I61" s="55">
        <v>680.18</v>
      </c>
      <c r="J61" s="55">
        <f t="shared" si="1"/>
        <v>5443.34</v>
      </c>
      <c r="K61" s="55" t="str">
        <f t="shared" si="2"/>
        <v>Jun-2024</v>
      </c>
      <c r="L61" s="57">
        <f t="shared" si="3"/>
        <v>46171.25354</v>
      </c>
    </row>
    <row r="62" ht="15.75" customHeight="1">
      <c r="A62" s="55" t="s">
        <v>128</v>
      </c>
      <c r="B62" s="55" t="s">
        <v>104</v>
      </c>
      <c r="C62" s="55" t="s">
        <v>28</v>
      </c>
      <c r="D62" s="55" t="s">
        <v>21</v>
      </c>
      <c r="E62" s="55">
        <v>1383.3</v>
      </c>
      <c r="F62" s="55">
        <v>8.0</v>
      </c>
      <c r="G62" s="55">
        <v>0.1</v>
      </c>
      <c r="H62" s="56">
        <v>45478.0</v>
      </c>
      <c r="I62" s="55">
        <v>497.99</v>
      </c>
      <c r="J62" s="55">
        <f t="shared" si="1"/>
        <v>17143.29</v>
      </c>
      <c r="K62" s="55" t="str">
        <f t="shared" si="2"/>
        <v>Jul-2024</v>
      </c>
      <c r="L62" s="57">
        <f t="shared" si="3"/>
        <v>46171.25354</v>
      </c>
    </row>
    <row r="63" ht="15.75" customHeight="1">
      <c r="A63" s="55" t="s">
        <v>107</v>
      </c>
      <c r="B63" s="55" t="s">
        <v>126</v>
      </c>
      <c r="C63" s="55" t="s">
        <v>27</v>
      </c>
      <c r="D63" s="55" t="s">
        <v>25</v>
      </c>
      <c r="E63" s="55">
        <v>488.99</v>
      </c>
      <c r="F63" s="55">
        <v>9.0</v>
      </c>
      <c r="G63" s="55">
        <v>0.0</v>
      </c>
      <c r="H63" s="56">
        <v>45479.0</v>
      </c>
      <c r="I63" s="55">
        <v>220.05</v>
      </c>
      <c r="J63" s="55">
        <f t="shared" si="1"/>
        <v>11915.83</v>
      </c>
      <c r="K63" s="55" t="str">
        <f t="shared" si="2"/>
        <v>Jul-2024</v>
      </c>
      <c r="L63" s="57">
        <f t="shared" si="3"/>
        <v>46171.25354</v>
      </c>
    </row>
    <row r="64" ht="15.75" customHeight="1">
      <c r="A64" s="55" t="s">
        <v>103</v>
      </c>
      <c r="B64" s="55" t="s">
        <v>104</v>
      </c>
      <c r="C64" s="55" t="s">
        <v>28</v>
      </c>
      <c r="D64" s="55" t="s">
        <v>24</v>
      </c>
      <c r="E64" s="55">
        <v>933.71</v>
      </c>
      <c r="F64" s="55">
        <v>17.0</v>
      </c>
      <c r="G64" s="55">
        <v>0.1</v>
      </c>
      <c r="H64" s="56">
        <v>45481.0</v>
      </c>
      <c r="I64" s="55">
        <v>294.12</v>
      </c>
      <c r="J64" s="55">
        <f t="shared" si="1"/>
        <v>17143.29</v>
      </c>
      <c r="K64" s="55" t="str">
        <f t="shared" si="2"/>
        <v>Jul-2024</v>
      </c>
      <c r="L64" s="57">
        <f t="shared" si="3"/>
        <v>46171.25354</v>
      </c>
    </row>
    <row r="65" ht="15.75" customHeight="1">
      <c r="A65" s="55" t="s">
        <v>138</v>
      </c>
      <c r="B65" s="55" t="s">
        <v>92</v>
      </c>
      <c r="C65" s="55" t="s">
        <v>31</v>
      </c>
      <c r="D65" s="55" t="s">
        <v>23</v>
      </c>
      <c r="E65" s="55">
        <v>1005.53</v>
      </c>
      <c r="F65" s="55">
        <v>17.0</v>
      </c>
      <c r="G65" s="55">
        <v>0.2</v>
      </c>
      <c r="H65" s="56">
        <v>45481.0</v>
      </c>
      <c r="I65" s="55">
        <v>201.11</v>
      </c>
      <c r="J65" s="55">
        <f t="shared" si="1"/>
        <v>6255.7</v>
      </c>
      <c r="K65" s="55" t="str">
        <f t="shared" si="2"/>
        <v>Jul-2024</v>
      </c>
      <c r="L65" s="57">
        <f t="shared" si="3"/>
        <v>46171.25354</v>
      </c>
    </row>
    <row r="66" ht="15.75" customHeight="1">
      <c r="A66" s="55" t="s">
        <v>112</v>
      </c>
      <c r="B66" s="55" t="s">
        <v>132</v>
      </c>
      <c r="C66" s="55" t="s">
        <v>30</v>
      </c>
      <c r="D66" s="55" t="s">
        <v>23</v>
      </c>
      <c r="E66" s="55">
        <v>1100.1</v>
      </c>
      <c r="F66" s="55">
        <v>5.0</v>
      </c>
      <c r="G66" s="55">
        <v>0.05</v>
      </c>
      <c r="H66" s="56">
        <v>45482.0</v>
      </c>
      <c r="I66" s="55">
        <v>261.27</v>
      </c>
      <c r="J66" s="55">
        <f t="shared" si="1"/>
        <v>8543.97</v>
      </c>
      <c r="K66" s="55" t="str">
        <f t="shared" si="2"/>
        <v>Jul-2024</v>
      </c>
      <c r="L66" s="57">
        <f t="shared" si="3"/>
        <v>46171.25354</v>
      </c>
    </row>
    <row r="67" ht="15.75" customHeight="1">
      <c r="A67" s="55" t="s">
        <v>138</v>
      </c>
      <c r="B67" s="55" t="s">
        <v>98</v>
      </c>
      <c r="C67" s="55" t="s">
        <v>29</v>
      </c>
      <c r="D67" s="55" t="s">
        <v>24</v>
      </c>
      <c r="E67" s="55">
        <v>1034.7</v>
      </c>
      <c r="F67" s="55">
        <v>15.0</v>
      </c>
      <c r="G67" s="55">
        <v>0.15</v>
      </c>
      <c r="H67" s="56">
        <v>45487.0</v>
      </c>
      <c r="I67" s="55">
        <v>307.82</v>
      </c>
      <c r="J67" s="55">
        <f t="shared" si="1"/>
        <v>20774.74</v>
      </c>
      <c r="K67" s="55" t="str">
        <f t="shared" si="2"/>
        <v>Jul-2024</v>
      </c>
      <c r="L67" s="57">
        <f t="shared" si="3"/>
        <v>46171.25354</v>
      </c>
    </row>
    <row r="68" ht="15.75" customHeight="1">
      <c r="A68" s="55" t="s">
        <v>136</v>
      </c>
      <c r="B68" s="55" t="s">
        <v>104</v>
      </c>
      <c r="C68" s="55" t="s">
        <v>30</v>
      </c>
      <c r="D68" s="55" t="s">
        <v>21</v>
      </c>
      <c r="E68" s="55">
        <v>876.44</v>
      </c>
      <c r="F68" s="55">
        <v>12.0</v>
      </c>
      <c r="G68" s="55">
        <v>0.05</v>
      </c>
      <c r="H68" s="56">
        <v>45488.0</v>
      </c>
      <c r="I68" s="55">
        <v>333.05</v>
      </c>
      <c r="J68" s="55">
        <f t="shared" si="1"/>
        <v>17143.29</v>
      </c>
      <c r="K68" s="55" t="str">
        <f t="shared" si="2"/>
        <v>Jul-2024</v>
      </c>
      <c r="L68" s="57">
        <f t="shared" si="3"/>
        <v>46171.25354</v>
      </c>
    </row>
    <row r="69" ht="15.75" customHeight="1">
      <c r="A69" s="55" t="s">
        <v>139</v>
      </c>
      <c r="B69" s="55" t="s">
        <v>126</v>
      </c>
      <c r="C69" s="55" t="s">
        <v>31</v>
      </c>
      <c r="D69" s="55" t="s">
        <v>24</v>
      </c>
      <c r="E69" s="55">
        <v>1371.34</v>
      </c>
      <c r="F69" s="55">
        <v>5.0</v>
      </c>
      <c r="G69" s="55">
        <v>0.05</v>
      </c>
      <c r="H69" s="56">
        <v>45488.0</v>
      </c>
      <c r="I69" s="55">
        <v>455.97</v>
      </c>
      <c r="J69" s="55">
        <f t="shared" si="1"/>
        <v>11915.83</v>
      </c>
      <c r="K69" s="55" t="str">
        <f t="shared" si="2"/>
        <v>Jul-2024</v>
      </c>
      <c r="L69" s="57">
        <f t="shared" si="3"/>
        <v>46171.25354</v>
      </c>
    </row>
    <row r="70" ht="15.75" customHeight="1">
      <c r="A70" s="55" t="s">
        <v>128</v>
      </c>
      <c r="B70" s="55" t="s">
        <v>118</v>
      </c>
      <c r="C70" s="55" t="s">
        <v>29</v>
      </c>
      <c r="D70" s="55" t="s">
        <v>23</v>
      </c>
      <c r="E70" s="55">
        <v>1020.26</v>
      </c>
      <c r="F70" s="55">
        <v>11.0</v>
      </c>
      <c r="G70" s="55">
        <v>0.05</v>
      </c>
      <c r="H70" s="56">
        <v>45494.0</v>
      </c>
      <c r="I70" s="55">
        <v>242.31</v>
      </c>
      <c r="J70" s="55">
        <f t="shared" si="1"/>
        <v>7251.18</v>
      </c>
      <c r="K70" s="55" t="str">
        <f t="shared" si="2"/>
        <v>Jul-2024</v>
      </c>
      <c r="L70" s="57">
        <f t="shared" si="3"/>
        <v>46171.25354</v>
      </c>
    </row>
    <row r="71" ht="15.75" customHeight="1">
      <c r="A71" s="55" t="s">
        <v>115</v>
      </c>
      <c r="B71" s="55" t="s">
        <v>92</v>
      </c>
      <c r="C71" s="55" t="s">
        <v>27</v>
      </c>
      <c r="D71" s="55" t="s">
        <v>25</v>
      </c>
      <c r="E71" s="55">
        <v>804.81</v>
      </c>
      <c r="F71" s="55">
        <v>1.0</v>
      </c>
      <c r="G71" s="55">
        <v>0.05</v>
      </c>
      <c r="H71" s="56">
        <v>45502.0</v>
      </c>
      <c r="I71" s="55">
        <v>344.06</v>
      </c>
      <c r="J71" s="55">
        <f t="shared" si="1"/>
        <v>6255.7</v>
      </c>
      <c r="K71" s="55" t="str">
        <f t="shared" si="2"/>
        <v>Jul-2024</v>
      </c>
      <c r="L71" s="57">
        <f t="shared" si="3"/>
        <v>46171.25354</v>
      </c>
    </row>
    <row r="72" ht="15.75" customHeight="1">
      <c r="A72" s="55" t="s">
        <v>97</v>
      </c>
      <c r="B72" s="55" t="s">
        <v>126</v>
      </c>
      <c r="C72" s="55" t="s">
        <v>27</v>
      </c>
      <c r="D72" s="55" t="s">
        <v>23</v>
      </c>
      <c r="E72" s="55">
        <v>608.66</v>
      </c>
      <c r="F72" s="55">
        <v>1.0</v>
      </c>
      <c r="G72" s="55">
        <v>0.05</v>
      </c>
      <c r="H72" s="56">
        <v>45503.0</v>
      </c>
      <c r="I72" s="55">
        <v>144.56</v>
      </c>
      <c r="J72" s="55">
        <f t="shared" si="1"/>
        <v>11915.83</v>
      </c>
      <c r="K72" s="55" t="str">
        <f t="shared" si="2"/>
        <v>Jul-2024</v>
      </c>
      <c r="L72" s="57">
        <f t="shared" si="3"/>
        <v>46171.25354</v>
      </c>
    </row>
    <row r="73" ht="15.75" customHeight="1">
      <c r="A73" s="55" t="s">
        <v>139</v>
      </c>
      <c r="B73" s="55" t="s">
        <v>140</v>
      </c>
      <c r="C73" s="55" t="s">
        <v>30</v>
      </c>
      <c r="D73" s="55" t="s">
        <v>25</v>
      </c>
      <c r="E73" s="55">
        <v>981.2</v>
      </c>
      <c r="F73" s="55">
        <v>19.0</v>
      </c>
      <c r="G73" s="55">
        <v>0.0</v>
      </c>
      <c r="H73" s="56">
        <v>45504.0</v>
      </c>
      <c r="I73" s="55">
        <v>441.54</v>
      </c>
      <c r="J73" s="55">
        <f t="shared" si="1"/>
        <v>2304.9</v>
      </c>
      <c r="K73" s="55" t="str">
        <f t="shared" si="2"/>
        <v>Jul-2024</v>
      </c>
      <c r="L73" s="57">
        <f t="shared" si="3"/>
        <v>46171.25354</v>
      </c>
    </row>
    <row r="74" ht="15.75" customHeight="1">
      <c r="A74" s="55" t="s">
        <v>141</v>
      </c>
      <c r="B74" s="55" t="s">
        <v>126</v>
      </c>
      <c r="C74" s="55" t="s">
        <v>28</v>
      </c>
      <c r="D74" s="55" t="s">
        <v>23</v>
      </c>
      <c r="E74" s="55">
        <v>539.77</v>
      </c>
      <c r="F74" s="55">
        <v>10.0</v>
      </c>
      <c r="G74" s="55">
        <v>0.15</v>
      </c>
      <c r="H74" s="56">
        <v>45509.0</v>
      </c>
      <c r="I74" s="55">
        <v>114.7</v>
      </c>
      <c r="J74" s="55">
        <f t="shared" si="1"/>
        <v>11915.83</v>
      </c>
      <c r="K74" s="55" t="str">
        <f t="shared" si="2"/>
        <v>Aug-2024</v>
      </c>
      <c r="L74" s="57">
        <f t="shared" si="3"/>
        <v>46171.25354</v>
      </c>
    </row>
    <row r="75" ht="15.75" customHeight="1">
      <c r="A75" s="55" t="s">
        <v>93</v>
      </c>
      <c r="B75" s="55" t="s">
        <v>142</v>
      </c>
      <c r="C75" s="55" t="s">
        <v>30</v>
      </c>
      <c r="D75" s="55" t="s">
        <v>21</v>
      </c>
      <c r="E75" s="55">
        <v>804.45</v>
      </c>
      <c r="F75" s="55">
        <v>5.0</v>
      </c>
      <c r="G75" s="55">
        <v>0.2</v>
      </c>
      <c r="H75" s="56">
        <v>45509.0</v>
      </c>
      <c r="I75" s="55">
        <v>257.42</v>
      </c>
      <c r="J75" s="55">
        <f t="shared" si="1"/>
        <v>5465.71</v>
      </c>
      <c r="K75" s="55" t="str">
        <f t="shared" si="2"/>
        <v>Aug-2024</v>
      </c>
      <c r="L75" s="57">
        <f t="shared" si="3"/>
        <v>46171.25354</v>
      </c>
    </row>
    <row r="76" ht="15.75" customHeight="1">
      <c r="A76" s="55" t="s">
        <v>141</v>
      </c>
      <c r="B76" s="55" t="s">
        <v>110</v>
      </c>
      <c r="C76" s="55" t="s">
        <v>31</v>
      </c>
      <c r="D76" s="55" t="s">
        <v>23</v>
      </c>
      <c r="E76" s="55">
        <v>1526.6</v>
      </c>
      <c r="F76" s="55">
        <v>13.0</v>
      </c>
      <c r="G76" s="55">
        <v>0.2</v>
      </c>
      <c r="H76" s="56">
        <v>45512.0</v>
      </c>
      <c r="I76" s="55">
        <v>305.32</v>
      </c>
      <c r="J76" s="55">
        <f t="shared" si="1"/>
        <v>11398.32</v>
      </c>
      <c r="K76" s="55" t="str">
        <f t="shared" si="2"/>
        <v>Aug-2024</v>
      </c>
      <c r="L76" s="57">
        <f t="shared" si="3"/>
        <v>46171.25354</v>
      </c>
    </row>
    <row r="77" ht="15.75" customHeight="1">
      <c r="A77" s="55" t="s">
        <v>93</v>
      </c>
      <c r="B77" s="55" t="s">
        <v>102</v>
      </c>
      <c r="C77" s="55" t="s">
        <v>31</v>
      </c>
      <c r="D77" s="55" t="s">
        <v>23</v>
      </c>
      <c r="E77" s="55">
        <v>1215.26</v>
      </c>
      <c r="F77" s="55">
        <v>5.0</v>
      </c>
      <c r="G77" s="55">
        <v>0.15</v>
      </c>
      <c r="H77" s="56">
        <v>45513.0</v>
      </c>
      <c r="I77" s="55">
        <v>258.24</v>
      </c>
      <c r="J77" s="55">
        <f t="shared" si="1"/>
        <v>9970.2</v>
      </c>
      <c r="K77" s="55" t="str">
        <f t="shared" si="2"/>
        <v>Aug-2024</v>
      </c>
      <c r="L77" s="57">
        <f t="shared" si="3"/>
        <v>46171.25354</v>
      </c>
    </row>
    <row r="78" ht="15.75" customHeight="1">
      <c r="A78" s="55" t="s">
        <v>96</v>
      </c>
      <c r="B78" s="55" t="s">
        <v>124</v>
      </c>
      <c r="C78" s="55" t="s">
        <v>27</v>
      </c>
      <c r="D78" s="55" t="s">
        <v>24</v>
      </c>
      <c r="E78" s="55">
        <v>1261.34</v>
      </c>
      <c r="F78" s="55">
        <v>3.0</v>
      </c>
      <c r="G78" s="55">
        <v>0.0</v>
      </c>
      <c r="H78" s="56">
        <v>45519.0</v>
      </c>
      <c r="I78" s="55">
        <v>441.47</v>
      </c>
      <c r="J78" s="55">
        <f t="shared" si="1"/>
        <v>7522.77</v>
      </c>
      <c r="K78" s="55" t="str">
        <f t="shared" si="2"/>
        <v>Aug-2024</v>
      </c>
      <c r="L78" s="57">
        <f t="shared" si="3"/>
        <v>46171.25354</v>
      </c>
    </row>
    <row r="79" ht="15.75" customHeight="1">
      <c r="A79" s="55" t="s">
        <v>143</v>
      </c>
      <c r="B79" s="55" t="s">
        <v>116</v>
      </c>
      <c r="C79" s="55" t="s">
        <v>29</v>
      </c>
      <c r="D79" s="55" t="s">
        <v>24</v>
      </c>
      <c r="E79" s="55">
        <v>518.07</v>
      </c>
      <c r="F79" s="55">
        <v>7.0</v>
      </c>
      <c r="G79" s="55">
        <v>0.05</v>
      </c>
      <c r="H79" s="56">
        <v>45522.0</v>
      </c>
      <c r="I79" s="55">
        <v>172.26</v>
      </c>
      <c r="J79" s="55">
        <f t="shared" si="1"/>
        <v>8635.95</v>
      </c>
      <c r="K79" s="55" t="str">
        <f t="shared" si="2"/>
        <v>Aug-2024</v>
      </c>
      <c r="L79" s="57">
        <f t="shared" si="3"/>
        <v>46171.25354</v>
      </c>
    </row>
    <row r="80" ht="15.75" customHeight="1">
      <c r="A80" s="55" t="s">
        <v>103</v>
      </c>
      <c r="B80" s="55" t="s">
        <v>102</v>
      </c>
      <c r="C80" s="55" t="s">
        <v>31</v>
      </c>
      <c r="D80" s="55" t="s">
        <v>25</v>
      </c>
      <c r="E80" s="55">
        <v>1111.34</v>
      </c>
      <c r="F80" s="55">
        <v>1.0</v>
      </c>
      <c r="G80" s="55">
        <v>0.0</v>
      </c>
      <c r="H80" s="56">
        <v>45523.0</v>
      </c>
      <c r="I80" s="55">
        <v>500.1</v>
      </c>
      <c r="J80" s="55">
        <f t="shared" si="1"/>
        <v>9970.2</v>
      </c>
      <c r="K80" s="55" t="str">
        <f t="shared" si="2"/>
        <v>Aug-2024</v>
      </c>
      <c r="L80" s="57">
        <f t="shared" si="3"/>
        <v>46171.25354</v>
      </c>
    </row>
    <row r="81" ht="15.75" customHeight="1">
      <c r="A81" s="55" t="s">
        <v>97</v>
      </c>
      <c r="B81" s="55" t="s">
        <v>104</v>
      </c>
      <c r="C81" s="55" t="s">
        <v>28</v>
      </c>
      <c r="D81" s="55" t="s">
        <v>22</v>
      </c>
      <c r="E81" s="55">
        <v>1291.47</v>
      </c>
      <c r="F81" s="55">
        <v>18.0</v>
      </c>
      <c r="G81" s="55">
        <v>0.1</v>
      </c>
      <c r="H81" s="56">
        <v>45526.0</v>
      </c>
      <c r="I81" s="55">
        <v>581.16</v>
      </c>
      <c r="J81" s="55">
        <f t="shared" si="1"/>
        <v>17143.29</v>
      </c>
      <c r="K81" s="55" t="str">
        <f t="shared" si="2"/>
        <v>Aug-2024</v>
      </c>
      <c r="L81" s="57">
        <f t="shared" si="3"/>
        <v>46171.25354</v>
      </c>
    </row>
    <row r="82" ht="15.75" customHeight="1">
      <c r="A82" s="55" t="s">
        <v>99</v>
      </c>
      <c r="B82" s="55" t="s">
        <v>126</v>
      </c>
      <c r="C82" s="55" t="s">
        <v>29</v>
      </c>
      <c r="D82" s="55" t="s">
        <v>21</v>
      </c>
      <c r="E82" s="55">
        <v>679.71</v>
      </c>
      <c r="F82" s="55">
        <v>19.0</v>
      </c>
      <c r="G82" s="55">
        <v>0.0</v>
      </c>
      <c r="H82" s="56">
        <v>45534.0</v>
      </c>
      <c r="I82" s="55">
        <v>271.88</v>
      </c>
      <c r="J82" s="55">
        <f t="shared" si="1"/>
        <v>11915.83</v>
      </c>
      <c r="K82" s="55" t="str">
        <f t="shared" si="2"/>
        <v>Aug-2024</v>
      </c>
      <c r="L82" s="57">
        <f t="shared" si="3"/>
        <v>46171.25354</v>
      </c>
    </row>
    <row r="83" ht="15.75" customHeight="1">
      <c r="A83" s="55" t="s">
        <v>139</v>
      </c>
      <c r="B83" s="55" t="s">
        <v>106</v>
      </c>
      <c r="C83" s="55" t="s">
        <v>28</v>
      </c>
      <c r="D83" s="55" t="s">
        <v>24</v>
      </c>
      <c r="E83" s="55">
        <v>1143.69</v>
      </c>
      <c r="F83" s="55">
        <v>17.0</v>
      </c>
      <c r="G83" s="55">
        <v>0.0</v>
      </c>
      <c r="H83" s="56">
        <v>45534.0</v>
      </c>
      <c r="I83" s="55">
        <v>400.29</v>
      </c>
      <c r="J83" s="55">
        <f t="shared" si="1"/>
        <v>3968.59</v>
      </c>
      <c r="K83" s="55" t="str">
        <f t="shared" si="2"/>
        <v>Aug-2024</v>
      </c>
      <c r="L83" s="57">
        <f t="shared" si="3"/>
        <v>46171.25354</v>
      </c>
    </row>
    <row r="84" ht="15.75" customHeight="1">
      <c r="A84" s="55" t="s">
        <v>123</v>
      </c>
      <c r="B84" s="55" t="s">
        <v>121</v>
      </c>
      <c r="C84" s="55" t="s">
        <v>27</v>
      </c>
      <c r="D84" s="55" t="s">
        <v>23</v>
      </c>
      <c r="E84" s="55">
        <v>790.08</v>
      </c>
      <c r="F84" s="55">
        <v>7.0</v>
      </c>
      <c r="G84" s="55">
        <v>0.1</v>
      </c>
      <c r="H84" s="56">
        <v>45536.0</v>
      </c>
      <c r="I84" s="55">
        <v>177.77</v>
      </c>
      <c r="J84" s="55">
        <f t="shared" si="1"/>
        <v>5801.29</v>
      </c>
      <c r="K84" s="55" t="str">
        <f t="shared" si="2"/>
        <v>Sep-2024</v>
      </c>
      <c r="L84" s="57">
        <f t="shared" si="3"/>
        <v>46171.25354</v>
      </c>
    </row>
    <row r="85" ht="15.75" customHeight="1">
      <c r="A85" s="55" t="s">
        <v>96</v>
      </c>
      <c r="B85" s="55" t="s">
        <v>119</v>
      </c>
      <c r="C85" s="55" t="s">
        <v>27</v>
      </c>
      <c r="D85" s="55" t="s">
        <v>21</v>
      </c>
      <c r="E85" s="55">
        <v>1070.68</v>
      </c>
      <c r="F85" s="55">
        <v>7.0</v>
      </c>
      <c r="G85" s="55">
        <v>0.05</v>
      </c>
      <c r="H85" s="56">
        <v>45536.0</v>
      </c>
      <c r="I85" s="55">
        <v>406.86</v>
      </c>
      <c r="J85" s="55">
        <f t="shared" si="1"/>
        <v>8090.12</v>
      </c>
      <c r="K85" s="55" t="str">
        <f t="shared" si="2"/>
        <v>Sep-2024</v>
      </c>
      <c r="L85" s="57">
        <f t="shared" si="3"/>
        <v>46171.25354</v>
      </c>
    </row>
    <row r="86" ht="15.75" customHeight="1">
      <c r="A86" s="55" t="s">
        <v>129</v>
      </c>
      <c r="B86" s="55" t="s">
        <v>108</v>
      </c>
      <c r="C86" s="55" t="s">
        <v>31</v>
      </c>
      <c r="D86" s="55" t="s">
        <v>22</v>
      </c>
      <c r="E86" s="55">
        <v>1168.89</v>
      </c>
      <c r="F86" s="55">
        <v>4.0</v>
      </c>
      <c r="G86" s="55">
        <v>0.1</v>
      </c>
      <c r="H86" s="56">
        <v>45544.0</v>
      </c>
      <c r="I86" s="55">
        <v>526.0</v>
      </c>
      <c r="J86" s="55">
        <f t="shared" si="1"/>
        <v>7020.38</v>
      </c>
      <c r="K86" s="55" t="str">
        <f t="shared" si="2"/>
        <v>Sep-2024</v>
      </c>
      <c r="L86" s="57">
        <f t="shared" si="3"/>
        <v>46171.25354</v>
      </c>
    </row>
    <row r="87" ht="15.75" customHeight="1">
      <c r="A87" s="55" t="s">
        <v>138</v>
      </c>
      <c r="B87" s="55" t="s">
        <v>92</v>
      </c>
      <c r="C87" s="55" t="s">
        <v>30</v>
      </c>
      <c r="D87" s="55" t="s">
        <v>23</v>
      </c>
      <c r="E87" s="55">
        <v>1335.87</v>
      </c>
      <c r="F87" s="55">
        <v>17.0</v>
      </c>
      <c r="G87" s="55">
        <v>0.0</v>
      </c>
      <c r="H87" s="56">
        <v>45544.0</v>
      </c>
      <c r="I87" s="55">
        <v>333.97</v>
      </c>
      <c r="J87" s="55">
        <f t="shared" si="1"/>
        <v>6255.7</v>
      </c>
      <c r="K87" s="55" t="str">
        <f t="shared" si="2"/>
        <v>Sep-2024</v>
      </c>
      <c r="L87" s="57">
        <f t="shared" si="3"/>
        <v>46171.25354</v>
      </c>
    </row>
    <row r="88" ht="15.75" customHeight="1">
      <c r="A88" s="55" t="s">
        <v>111</v>
      </c>
      <c r="B88" s="55" t="s">
        <v>126</v>
      </c>
      <c r="C88" s="55" t="s">
        <v>28</v>
      </c>
      <c r="D88" s="55" t="s">
        <v>24</v>
      </c>
      <c r="E88" s="55">
        <v>873.7</v>
      </c>
      <c r="F88" s="55">
        <v>9.0</v>
      </c>
      <c r="G88" s="55">
        <v>0.0</v>
      </c>
      <c r="H88" s="56">
        <v>45546.0</v>
      </c>
      <c r="I88" s="55">
        <v>305.8</v>
      </c>
      <c r="J88" s="55">
        <f t="shared" si="1"/>
        <v>11915.83</v>
      </c>
      <c r="K88" s="55" t="str">
        <f t="shared" si="2"/>
        <v>Sep-2024</v>
      </c>
      <c r="L88" s="57">
        <f t="shared" si="3"/>
        <v>46171.25354</v>
      </c>
    </row>
    <row r="89" ht="15.75" customHeight="1">
      <c r="A89" s="55" t="s">
        <v>143</v>
      </c>
      <c r="B89" s="55" t="s">
        <v>135</v>
      </c>
      <c r="C89" s="55" t="s">
        <v>31</v>
      </c>
      <c r="D89" s="55" t="s">
        <v>25</v>
      </c>
      <c r="E89" s="55">
        <v>1443.98</v>
      </c>
      <c r="F89" s="55">
        <v>19.0</v>
      </c>
      <c r="G89" s="55">
        <v>0.0</v>
      </c>
      <c r="H89" s="56">
        <v>45547.0</v>
      </c>
      <c r="I89" s="55">
        <v>649.79</v>
      </c>
      <c r="J89" s="55">
        <f t="shared" si="1"/>
        <v>5771.59</v>
      </c>
      <c r="K89" s="55" t="str">
        <f t="shared" si="2"/>
        <v>Sep-2024</v>
      </c>
      <c r="L89" s="57">
        <f t="shared" si="3"/>
        <v>46171.25354</v>
      </c>
    </row>
    <row r="90" ht="15.75" customHeight="1">
      <c r="A90" s="55" t="s">
        <v>111</v>
      </c>
      <c r="B90" s="55" t="s">
        <v>98</v>
      </c>
      <c r="C90" s="55" t="s">
        <v>28</v>
      </c>
      <c r="D90" s="55" t="s">
        <v>25</v>
      </c>
      <c r="E90" s="55">
        <v>1154.33</v>
      </c>
      <c r="F90" s="55">
        <v>11.0</v>
      </c>
      <c r="G90" s="55">
        <v>0.15</v>
      </c>
      <c r="H90" s="56">
        <v>45549.0</v>
      </c>
      <c r="I90" s="55">
        <v>441.53</v>
      </c>
      <c r="J90" s="55">
        <f t="shared" si="1"/>
        <v>20774.74</v>
      </c>
      <c r="K90" s="55" t="str">
        <f t="shared" si="2"/>
        <v>Sep-2024</v>
      </c>
      <c r="L90" s="57">
        <f t="shared" si="3"/>
        <v>46171.25354</v>
      </c>
    </row>
    <row r="91" ht="15.75" customHeight="1">
      <c r="A91" s="55" t="s">
        <v>120</v>
      </c>
      <c r="B91" s="55" t="s">
        <v>121</v>
      </c>
      <c r="C91" s="55" t="s">
        <v>30</v>
      </c>
      <c r="D91" s="55" t="s">
        <v>21</v>
      </c>
      <c r="E91" s="55">
        <v>1264.49</v>
      </c>
      <c r="F91" s="55">
        <v>16.0</v>
      </c>
      <c r="G91" s="55">
        <v>0.05</v>
      </c>
      <c r="H91" s="56">
        <v>45549.0</v>
      </c>
      <c r="I91" s="55">
        <v>480.51</v>
      </c>
      <c r="J91" s="55">
        <f t="shared" si="1"/>
        <v>5801.29</v>
      </c>
      <c r="K91" s="55" t="str">
        <f t="shared" si="2"/>
        <v>Sep-2024</v>
      </c>
      <c r="L91" s="57">
        <f t="shared" si="3"/>
        <v>46171.25354</v>
      </c>
    </row>
    <row r="92" ht="15.75" customHeight="1">
      <c r="A92" s="55" t="s">
        <v>99</v>
      </c>
      <c r="B92" s="55" t="s">
        <v>137</v>
      </c>
      <c r="C92" s="55" t="s">
        <v>31</v>
      </c>
      <c r="D92" s="55" t="s">
        <v>24</v>
      </c>
      <c r="E92" s="55">
        <v>1101.55</v>
      </c>
      <c r="F92" s="55">
        <v>4.0</v>
      </c>
      <c r="G92" s="55">
        <v>0.1</v>
      </c>
      <c r="H92" s="56">
        <v>45551.0</v>
      </c>
      <c r="I92" s="55">
        <v>346.99</v>
      </c>
      <c r="J92" s="55">
        <f t="shared" si="1"/>
        <v>5014.96</v>
      </c>
      <c r="K92" s="55" t="str">
        <f t="shared" si="2"/>
        <v>Sep-2024</v>
      </c>
      <c r="L92" s="57">
        <f t="shared" si="3"/>
        <v>46171.25354</v>
      </c>
    </row>
    <row r="93" ht="15.75" customHeight="1">
      <c r="A93" s="55" t="s">
        <v>144</v>
      </c>
      <c r="B93" s="55" t="s">
        <v>8</v>
      </c>
      <c r="C93" s="55" t="s">
        <v>30</v>
      </c>
      <c r="D93" s="55" t="s">
        <v>24</v>
      </c>
      <c r="E93" s="55">
        <v>727.73</v>
      </c>
      <c r="F93" s="55">
        <v>1.0</v>
      </c>
      <c r="G93" s="55">
        <v>0.1</v>
      </c>
      <c r="H93" s="56">
        <v>45552.0</v>
      </c>
      <c r="I93" s="55">
        <v>229.23</v>
      </c>
      <c r="J93" s="55">
        <f t="shared" si="1"/>
        <v>8331.85</v>
      </c>
      <c r="K93" s="55" t="str">
        <f t="shared" si="2"/>
        <v>Sep-2024</v>
      </c>
      <c r="L93" s="57">
        <f t="shared" si="3"/>
        <v>46171.25354</v>
      </c>
    </row>
    <row r="94" ht="15.75" customHeight="1">
      <c r="A94" s="55" t="s">
        <v>145</v>
      </c>
      <c r="B94" s="55" t="s">
        <v>110</v>
      </c>
      <c r="C94" s="55" t="s">
        <v>28</v>
      </c>
      <c r="D94" s="55" t="s">
        <v>25</v>
      </c>
      <c r="E94" s="55">
        <v>875.41</v>
      </c>
      <c r="F94" s="55">
        <v>13.0</v>
      </c>
      <c r="G94" s="55">
        <v>0.15</v>
      </c>
      <c r="H94" s="56">
        <v>45552.0</v>
      </c>
      <c r="I94" s="55">
        <v>334.84</v>
      </c>
      <c r="J94" s="55">
        <f t="shared" si="1"/>
        <v>11398.32</v>
      </c>
      <c r="K94" s="55" t="str">
        <f t="shared" si="2"/>
        <v>Sep-2024</v>
      </c>
      <c r="L94" s="57">
        <f t="shared" si="3"/>
        <v>46171.25354</v>
      </c>
    </row>
    <row r="95" ht="15.75" customHeight="1">
      <c r="A95" s="55" t="s">
        <v>138</v>
      </c>
      <c r="B95" s="55" t="s">
        <v>98</v>
      </c>
      <c r="C95" s="55" t="s">
        <v>31</v>
      </c>
      <c r="D95" s="55" t="s">
        <v>23</v>
      </c>
      <c r="E95" s="55">
        <v>1158.94</v>
      </c>
      <c r="F95" s="55">
        <v>19.0</v>
      </c>
      <c r="G95" s="55">
        <v>0.2</v>
      </c>
      <c r="H95" s="56">
        <v>45553.0</v>
      </c>
      <c r="I95" s="55">
        <v>231.79</v>
      </c>
      <c r="J95" s="55">
        <f t="shared" si="1"/>
        <v>20774.74</v>
      </c>
      <c r="K95" s="55" t="str">
        <f t="shared" si="2"/>
        <v>Sep-2024</v>
      </c>
      <c r="L95" s="57">
        <f t="shared" si="3"/>
        <v>46171.25354</v>
      </c>
    </row>
    <row r="96" ht="15.75" customHeight="1">
      <c r="A96" s="55" t="s">
        <v>146</v>
      </c>
      <c r="B96" s="55" t="s">
        <v>118</v>
      </c>
      <c r="C96" s="55" t="s">
        <v>30</v>
      </c>
      <c r="D96" s="55" t="s">
        <v>21</v>
      </c>
      <c r="E96" s="55">
        <v>966.3</v>
      </c>
      <c r="F96" s="55">
        <v>2.0</v>
      </c>
      <c r="G96" s="55">
        <v>0.15</v>
      </c>
      <c r="H96" s="56">
        <v>45557.0</v>
      </c>
      <c r="I96" s="55">
        <v>328.54</v>
      </c>
      <c r="J96" s="55">
        <f t="shared" si="1"/>
        <v>7251.18</v>
      </c>
      <c r="K96" s="55" t="str">
        <f t="shared" si="2"/>
        <v>Sep-2024</v>
      </c>
      <c r="L96" s="57">
        <f t="shared" si="3"/>
        <v>46171.25354</v>
      </c>
    </row>
    <row r="97" ht="15.75" customHeight="1">
      <c r="A97" s="55" t="s">
        <v>139</v>
      </c>
      <c r="B97" s="55" t="s">
        <v>95</v>
      </c>
      <c r="C97" s="55" t="s">
        <v>30</v>
      </c>
      <c r="D97" s="55" t="s">
        <v>21</v>
      </c>
      <c r="E97" s="55">
        <v>917.48</v>
      </c>
      <c r="F97" s="55">
        <v>6.0</v>
      </c>
      <c r="G97" s="55">
        <v>0.0</v>
      </c>
      <c r="H97" s="56">
        <v>45558.0</v>
      </c>
      <c r="I97" s="55">
        <v>366.99</v>
      </c>
      <c r="J97" s="55">
        <f t="shared" si="1"/>
        <v>5615.28</v>
      </c>
      <c r="K97" s="55" t="str">
        <f t="shared" si="2"/>
        <v>Sep-2024</v>
      </c>
      <c r="L97" s="57">
        <f t="shared" si="3"/>
        <v>46171.25354</v>
      </c>
    </row>
    <row r="98" ht="15.75" customHeight="1">
      <c r="A98" s="55" t="s">
        <v>112</v>
      </c>
      <c r="B98" s="55" t="s">
        <v>132</v>
      </c>
      <c r="C98" s="55" t="s">
        <v>31</v>
      </c>
      <c r="D98" s="55" t="s">
        <v>24</v>
      </c>
      <c r="E98" s="55">
        <v>1172.97</v>
      </c>
      <c r="F98" s="55">
        <v>7.0</v>
      </c>
      <c r="G98" s="55">
        <v>0.15</v>
      </c>
      <c r="H98" s="56">
        <v>45559.0</v>
      </c>
      <c r="I98" s="55">
        <v>348.96</v>
      </c>
      <c r="J98" s="55">
        <f t="shared" si="1"/>
        <v>8543.97</v>
      </c>
      <c r="K98" s="55" t="str">
        <f t="shared" si="2"/>
        <v>Sep-2024</v>
      </c>
      <c r="L98" s="57">
        <f t="shared" si="3"/>
        <v>46171.25354</v>
      </c>
    </row>
    <row r="99" ht="15.75" customHeight="1">
      <c r="A99" s="55" t="s">
        <v>128</v>
      </c>
      <c r="B99" s="55" t="s">
        <v>98</v>
      </c>
      <c r="C99" s="55" t="s">
        <v>29</v>
      </c>
      <c r="D99" s="55" t="s">
        <v>22</v>
      </c>
      <c r="E99" s="55">
        <v>1205.82</v>
      </c>
      <c r="F99" s="55">
        <v>11.0</v>
      </c>
      <c r="G99" s="55">
        <v>0.1</v>
      </c>
      <c r="H99" s="56">
        <v>45559.0</v>
      </c>
      <c r="I99" s="55">
        <v>542.62</v>
      </c>
      <c r="J99" s="55">
        <f t="shared" si="1"/>
        <v>20774.74</v>
      </c>
      <c r="K99" s="55" t="str">
        <f t="shared" si="2"/>
        <v>Sep-2024</v>
      </c>
      <c r="L99" s="57">
        <f t="shared" si="3"/>
        <v>46171.25354</v>
      </c>
    </row>
    <row r="100" ht="15.75" customHeight="1">
      <c r="A100" s="55" t="s">
        <v>94</v>
      </c>
      <c r="B100" s="55" t="s">
        <v>135</v>
      </c>
      <c r="C100" s="55" t="s">
        <v>31</v>
      </c>
      <c r="D100" s="55" t="s">
        <v>25</v>
      </c>
      <c r="E100" s="55">
        <v>826.93</v>
      </c>
      <c r="F100" s="55">
        <v>10.0</v>
      </c>
      <c r="G100" s="55">
        <v>0.2</v>
      </c>
      <c r="H100" s="56">
        <v>45564.0</v>
      </c>
      <c r="I100" s="55">
        <v>297.69</v>
      </c>
      <c r="J100" s="55">
        <f t="shared" si="1"/>
        <v>5771.59</v>
      </c>
      <c r="K100" s="55" t="str">
        <f t="shared" si="2"/>
        <v>Sep-2024</v>
      </c>
      <c r="L100" s="57">
        <f t="shared" si="3"/>
        <v>46171.25354</v>
      </c>
    </row>
    <row r="101" ht="15.75" customHeight="1">
      <c r="A101" s="55" t="s">
        <v>138</v>
      </c>
      <c r="B101" s="55" t="s">
        <v>98</v>
      </c>
      <c r="C101" s="55" t="s">
        <v>27</v>
      </c>
      <c r="D101" s="55" t="s">
        <v>22</v>
      </c>
      <c r="E101" s="55">
        <v>902.19</v>
      </c>
      <c r="F101" s="55">
        <v>12.0</v>
      </c>
      <c r="G101" s="55">
        <v>0.0</v>
      </c>
      <c r="H101" s="56">
        <v>45564.0</v>
      </c>
      <c r="I101" s="55">
        <v>451.1</v>
      </c>
      <c r="J101" s="55">
        <f t="shared" si="1"/>
        <v>20774.74</v>
      </c>
      <c r="K101" s="55" t="str">
        <f t="shared" si="2"/>
        <v>Sep-2024</v>
      </c>
      <c r="L101" s="57">
        <f t="shared" si="3"/>
        <v>46171.25354</v>
      </c>
    </row>
    <row r="102" ht="15.75" customHeight="1">
      <c r="A102" s="55" t="s">
        <v>145</v>
      </c>
      <c r="B102" s="55" t="s">
        <v>110</v>
      </c>
      <c r="C102" s="55" t="s">
        <v>29</v>
      </c>
      <c r="D102" s="55" t="s">
        <v>21</v>
      </c>
      <c r="E102" s="55">
        <v>585.97</v>
      </c>
      <c r="F102" s="55">
        <v>17.0</v>
      </c>
      <c r="G102" s="55">
        <v>0.1</v>
      </c>
      <c r="H102" s="56">
        <v>45565.0</v>
      </c>
      <c r="I102" s="55">
        <v>210.95</v>
      </c>
      <c r="J102" s="55">
        <f t="shared" si="1"/>
        <v>11398.32</v>
      </c>
      <c r="K102" s="55" t="str">
        <f t="shared" si="2"/>
        <v>Sep-2024</v>
      </c>
      <c r="L102" s="57">
        <f t="shared" si="3"/>
        <v>46171.25354</v>
      </c>
    </row>
    <row r="103" ht="15.75" customHeight="1">
      <c r="A103" s="55" t="s">
        <v>131</v>
      </c>
      <c r="B103" s="55" t="s">
        <v>100</v>
      </c>
      <c r="C103" s="55" t="s">
        <v>29</v>
      </c>
      <c r="D103" s="55" t="s">
        <v>22</v>
      </c>
      <c r="E103" s="55">
        <v>990.19</v>
      </c>
      <c r="F103" s="55">
        <v>8.0</v>
      </c>
      <c r="G103" s="55">
        <v>0.1</v>
      </c>
      <c r="H103" s="56">
        <v>45565.0</v>
      </c>
      <c r="I103" s="55">
        <v>445.59</v>
      </c>
      <c r="J103" s="55">
        <f t="shared" si="1"/>
        <v>7881.9</v>
      </c>
      <c r="K103" s="55" t="str">
        <f t="shared" si="2"/>
        <v>Sep-2024</v>
      </c>
      <c r="L103" s="57">
        <f t="shared" si="3"/>
        <v>46171.25354</v>
      </c>
    </row>
    <row r="104" ht="15.75" customHeight="1">
      <c r="A104" s="55" t="s">
        <v>115</v>
      </c>
      <c r="B104" s="55" t="s">
        <v>127</v>
      </c>
      <c r="C104" s="55" t="s">
        <v>27</v>
      </c>
      <c r="D104" s="55" t="s">
        <v>23</v>
      </c>
      <c r="E104" s="55">
        <v>1014.09</v>
      </c>
      <c r="F104" s="55">
        <v>13.0</v>
      </c>
      <c r="G104" s="55">
        <v>0.2</v>
      </c>
      <c r="H104" s="56">
        <v>45567.0</v>
      </c>
      <c r="I104" s="55">
        <v>202.82</v>
      </c>
      <c r="J104" s="55">
        <f t="shared" si="1"/>
        <v>3819.14</v>
      </c>
      <c r="K104" s="55" t="str">
        <f t="shared" si="2"/>
        <v>Oct-2024</v>
      </c>
      <c r="L104" s="57">
        <f t="shared" si="3"/>
        <v>46171.25354</v>
      </c>
    </row>
    <row r="105" ht="15.75" customHeight="1">
      <c r="A105" s="55" t="s">
        <v>93</v>
      </c>
      <c r="B105" s="55" t="s">
        <v>119</v>
      </c>
      <c r="C105" s="55" t="s">
        <v>29</v>
      </c>
      <c r="D105" s="55" t="s">
        <v>23</v>
      </c>
      <c r="E105" s="55">
        <v>925.29</v>
      </c>
      <c r="F105" s="55">
        <v>17.0</v>
      </c>
      <c r="G105" s="55">
        <v>0.0</v>
      </c>
      <c r="H105" s="56">
        <v>45570.0</v>
      </c>
      <c r="I105" s="55">
        <v>231.32</v>
      </c>
      <c r="J105" s="55">
        <f t="shared" si="1"/>
        <v>8090.12</v>
      </c>
      <c r="K105" s="55" t="str">
        <f t="shared" si="2"/>
        <v>Oct-2024</v>
      </c>
      <c r="L105" s="57">
        <f t="shared" si="3"/>
        <v>46171.25354</v>
      </c>
    </row>
    <row r="106" ht="15.75" customHeight="1">
      <c r="A106" s="55" t="s">
        <v>125</v>
      </c>
      <c r="B106" s="55" t="s">
        <v>118</v>
      </c>
      <c r="C106" s="55" t="s">
        <v>28</v>
      </c>
      <c r="D106" s="55" t="s">
        <v>24</v>
      </c>
      <c r="E106" s="55">
        <v>1286.54</v>
      </c>
      <c r="F106" s="55">
        <v>8.0</v>
      </c>
      <c r="G106" s="55">
        <v>0.0</v>
      </c>
      <c r="H106" s="56">
        <v>45575.0</v>
      </c>
      <c r="I106" s="55">
        <v>450.29</v>
      </c>
      <c r="J106" s="55">
        <f t="shared" si="1"/>
        <v>7251.18</v>
      </c>
      <c r="K106" s="55" t="str">
        <f t="shared" si="2"/>
        <v>Oct-2024</v>
      </c>
      <c r="L106" s="57">
        <f t="shared" si="3"/>
        <v>46171.25354</v>
      </c>
    </row>
    <row r="107" ht="15.75" customHeight="1">
      <c r="A107" s="55" t="s">
        <v>109</v>
      </c>
      <c r="B107" s="55" t="s">
        <v>135</v>
      </c>
      <c r="C107" s="55" t="s">
        <v>30</v>
      </c>
      <c r="D107" s="55" t="s">
        <v>21</v>
      </c>
      <c r="E107" s="55">
        <v>961.62</v>
      </c>
      <c r="F107" s="55">
        <v>8.0</v>
      </c>
      <c r="G107" s="55">
        <v>0.2</v>
      </c>
      <c r="H107" s="56">
        <v>45577.0</v>
      </c>
      <c r="I107" s="55">
        <v>307.72</v>
      </c>
      <c r="J107" s="55">
        <f t="shared" si="1"/>
        <v>5771.59</v>
      </c>
      <c r="K107" s="55" t="str">
        <f t="shared" si="2"/>
        <v>Oct-2024</v>
      </c>
      <c r="L107" s="57">
        <f t="shared" si="3"/>
        <v>46171.25354</v>
      </c>
    </row>
    <row r="108" ht="15.75" customHeight="1">
      <c r="A108" s="55" t="s">
        <v>115</v>
      </c>
      <c r="B108" s="55" t="s">
        <v>98</v>
      </c>
      <c r="C108" s="55" t="s">
        <v>28</v>
      </c>
      <c r="D108" s="55" t="s">
        <v>21</v>
      </c>
      <c r="E108" s="55">
        <v>1081.14</v>
      </c>
      <c r="F108" s="55">
        <v>19.0</v>
      </c>
      <c r="G108" s="55">
        <v>0.15</v>
      </c>
      <c r="H108" s="56">
        <v>45577.0</v>
      </c>
      <c r="I108" s="55">
        <v>367.59</v>
      </c>
      <c r="J108" s="55">
        <f t="shared" si="1"/>
        <v>20774.74</v>
      </c>
      <c r="K108" s="55" t="str">
        <f t="shared" si="2"/>
        <v>Oct-2024</v>
      </c>
      <c r="L108" s="57">
        <f t="shared" si="3"/>
        <v>46171.25354</v>
      </c>
    </row>
    <row r="109" ht="15.75" customHeight="1">
      <c r="A109" s="55" t="s">
        <v>129</v>
      </c>
      <c r="B109" s="55" t="s">
        <v>98</v>
      </c>
      <c r="C109" s="55" t="s">
        <v>31</v>
      </c>
      <c r="D109" s="55" t="s">
        <v>22</v>
      </c>
      <c r="E109" s="55">
        <v>1923.66</v>
      </c>
      <c r="F109" s="55">
        <v>9.0</v>
      </c>
      <c r="G109" s="55">
        <v>0.2</v>
      </c>
      <c r="H109" s="56">
        <v>45580.0</v>
      </c>
      <c r="I109" s="55">
        <v>769.46</v>
      </c>
      <c r="J109" s="55">
        <f t="shared" si="1"/>
        <v>20774.74</v>
      </c>
      <c r="K109" s="55" t="str">
        <f t="shared" si="2"/>
        <v>Oct-2024</v>
      </c>
      <c r="L109" s="57">
        <f t="shared" si="3"/>
        <v>46171.25354</v>
      </c>
    </row>
    <row r="110" ht="15.75" customHeight="1">
      <c r="A110" s="55" t="s">
        <v>125</v>
      </c>
      <c r="B110" s="55" t="s">
        <v>137</v>
      </c>
      <c r="C110" s="55" t="s">
        <v>27</v>
      </c>
      <c r="D110" s="55" t="s">
        <v>22</v>
      </c>
      <c r="E110" s="55">
        <v>728.71</v>
      </c>
      <c r="F110" s="55">
        <v>14.0</v>
      </c>
      <c r="G110" s="55">
        <v>0.1</v>
      </c>
      <c r="H110" s="56">
        <v>45581.0</v>
      </c>
      <c r="I110" s="55">
        <v>327.92</v>
      </c>
      <c r="J110" s="55">
        <f t="shared" si="1"/>
        <v>5014.96</v>
      </c>
      <c r="K110" s="55" t="str">
        <f t="shared" si="2"/>
        <v>Oct-2024</v>
      </c>
      <c r="L110" s="57">
        <f t="shared" si="3"/>
        <v>46171.25354</v>
      </c>
    </row>
    <row r="111" ht="15.75" customHeight="1">
      <c r="A111" s="55" t="s">
        <v>91</v>
      </c>
      <c r="B111" s="55" t="s">
        <v>106</v>
      </c>
      <c r="C111" s="55" t="s">
        <v>27</v>
      </c>
      <c r="D111" s="55" t="s">
        <v>22</v>
      </c>
      <c r="E111" s="55">
        <v>1301.89</v>
      </c>
      <c r="F111" s="55">
        <v>7.0</v>
      </c>
      <c r="G111" s="55">
        <v>0.15</v>
      </c>
      <c r="H111" s="56">
        <v>45581.0</v>
      </c>
      <c r="I111" s="55">
        <v>553.3</v>
      </c>
      <c r="J111" s="55">
        <f t="shared" si="1"/>
        <v>3968.59</v>
      </c>
      <c r="K111" s="55" t="str">
        <f t="shared" si="2"/>
        <v>Oct-2024</v>
      </c>
      <c r="L111" s="57">
        <f t="shared" si="3"/>
        <v>46171.25354</v>
      </c>
    </row>
    <row r="112" ht="15.75" customHeight="1">
      <c r="A112" s="55" t="s">
        <v>141</v>
      </c>
      <c r="B112" s="55" t="s">
        <v>137</v>
      </c>
      <c r="C112" s="55" t="s">
        <v>28</v>
      </c>
      <c r="D112" s="55" t="s">
        <v>21</v>
      </c>
      <c r="E112" s="55">
        <v>980.18</v>
      </c>
      <c r="F112" s="55">
        <v>16.0</v>
      </c>
      <c r="G112" s="55">
        <v>0.1</v>
      </c>
      <c r="H112" s="56">
        <v>45582.0</v>
      </c>
      <c r="I112" s="55">
        <v>352.86</v>
      </c>
      <c r="J112" s="55">
        <f t="shared" si="1"/>
        <v>5014.96</v>
      </c>
      <c r="K112" s="55" t="str">
        <f t="shared" si="2"/>
        <v>Oct-2024</v>
      </c>
      <c r="L112" s="57">
        <f t="shared" si="3"/>
        <v>46171.25354</v>
      </c>
    </row>
    <row r="113" ht="15.75" customHeight="1">
      <c r="A113" s="55" t="s">
        <v>145</v>
      </c>
      <c r="B113" s="55" t="s">
        <v>98</v>
      </c>
      <c r="C113" s="55" t="s">
        <v>31</v>
      </c>
      <c r="D113" s="55" t="s">
        <v>22</v>
      </c>
      <c r="E113" s="55">
        <v>697.57</v>
      </c>
      <c r="F113" s="55">
        <v>17.0</v>
      </c>
      <c r="G113" s="55">
        <v>0.1</v>
      </c>
      <c r="H113" s="56">
        <v>45584.0</v>
      </c>
      <c r="I113" s="55">
        <v>313.91</v>
      </c>
      <c r="J113" s="55">
        <f t="shared" si="1"/>
        <v>20774.74</v>
      </c>
      <c r="K113" s="55" t="str">
        <f t="shared" si="2"/>
        <v>Oct-2024</v>
      </c>
      <c r="L113" s="57">
        <f t="shared" si="3"/>
        <v>46171.25354</v>
      </c>
    </row>
    <row r="114" ht="15.75" customHeight="1">
      <c r="A114" s="55" t="s">
        <v>117</v>
      </c>
      <c r="B114" s="55" t="s">
        <v>142</v>
      </c>
      <c r="C114" s="55" t="s">
        <v>31</v>
      </c>
      <c r="D114" s="55" t="s">
        <v>24</v>
      </c>
      <c r="E114" s="55">
        <v>1193.61</v>
      </c>
      <c r="F114" s="55">
        <v>1.0</v>
      </c>
      <c r="G114" s="55">
        <v>0.15</v>
      </c>
      <c r="H114" s="56">
        <v>45584.0</v>
      </c>
      <c r="I114" s="55">
        <v>355.1</v>
      </c>
      <c r="J114" s="55">
        <f t="shared" si="1"/>
        <v>5465.71</v>
      </c>
      <c r="K114" s="55" t="str">
        <f t="shared" si="2"/>
        <v>Oct-2024</v>
      </c>
      <c r="L114" s="57">
        <f t="shared" si="3"/>
        <v>46171.25354</v>
      </c>
    </row>
    <row r="115" ht="15.75" customHeight="1">
      <c r="A115" s="55" t="s">
        <v>105</v>
      </c>
      <c r="B115" s="55" t="s">
        <v>110</v>
      </c>
      <c r="C115" s="55" t="s">
        <v>30</v>
      </c>
      <c r="D115" s="55" t="s">
        <v>23</v>
      </c>
      <c r="E115" s="55">
        <v>771.02</v>
      </c>
      <c r="F115" s="55">
        <v>1.0</v>
      </c>
      <c r="G115" s="55">
        <v>0.0</v>
      </c>
      <c r="H115" s="56">
        <v>45585.0</v>
      </c>
      <c r="I115" s="55">
        <v>192.76</v>
      </c>
      <c r="J115" s="55">
        <f t="shared" si="1"/>
        <v>11398.32</v>
      </c>
      <c r="K115" s="55" t="str">
        <f t="shared" si="2"/>
        <v>Oct-2024</v>
      </c>
      <c r="L115" s="57">
        <f t="shared" si="3"/>
        <v>46171.25354</v>
      </c>
    </row>
    <row r="116" ht="15.75" customHeight="1">
      <c r="A116" s="55" t="s">
        <v>138</v>
      </c>
      <c r="B116" s="55" t="s">
        <v>140</v>
      </c>
      <c r="C116" s="55" t="s">
        <v>29</v>
      </c>
      <c r="D116" s="55" t="s">
        <v>22</v>
      </c>
      <c r="E116" s="55">
        <v>661.09</v>
      </c>
      <c r="F116" s="55">
        <v>1.0</v>
      </c>
      <c r="G116" s="55">
        <v>0.2</v>
      </c>
      <c r="H116" s="56">
        <v>45593.0</v>
      </c>
      <c r="I116" s="55">
        <v>264.44</v>
      </c>
      <c r="J116" s="55">
        <f t="shared" si="1"/>
        <v>2304.9</v>
      </c>
      <c r="K116" s="55" t="str">
        <f t="shared" si="2"/>
        <v>Oct-2024</v>
      </c>
      <c r="L116" s="57">
        <f t="shared" si="3"/>
        <v>46171.25354</v>
      </c>
    </row>
    <row r="117" ht="15.75" customHeight="1">
      <c r="A117" s="55" t="s">
        <v>93</v>
      </c>
      <c r="B117" s="55" t="s">
        <v>126</v>
      </c>
      <c r="C117" s="55" t="s">
        <v>31</v>
      </c>
      <c r="D117" s="55" t="s">
        <v>23</v>
      </c>
      <c r="E117" s="55">
        <v>688.83</v>
      </c>
      <c r="F117" s="55">
        <v>15.0</v>
      </c>
      <c r="G117" s="55">
        <v>0.0</v>
      </c>
      <c r="H117" s="56">
        <v>45595.0</v>
      </c>
      <c r="I117" s="55">
        <v>172.21</v>
      </c>
      <c r="J117" s="55">
        <f t="shared" si="1"/>
        <v>11915.83</v>
      </c>
      <c r="K117" s="55" t="str">
        <f t="shared" si="2"/>
        <v>Oct-2024</v>
      </c>
      <c r="L117" s="57">
        <f t="shared" si="3"/>
        <v>46171.25354</v>
      </c>
    </row>
    <row r="118" ht="15.75" customHeight="1">
      <c r="A118" s="55" t="s">
        <v>144</v>
      </c>
      <c r="B118" s="55" t="s">
        <v>102</v>
      </c>
      <c r="C118" s="55" t="s">
        <v>27</v>
      </c>
      <c r="D118" s="55" t="s">
        <v>21</v>
      </c>
      <c r="E118" s="55">
        <v>1249.1</v>
      </c>
      <c r="F118" s="55">
        <v>4.0</v>
      </c>
      <c r="G118" s="55">
        <v>0.05</v>
      </c>
      <c r="H118" s="56">
        <v>45597.0</v>
      </c>
      <c r="I118" s="55">
        <v>474.66</v>
      </c>
      <c r="J118" s="55">
        <f t="shared" si="1"/>
        <v>9970.2</v>
      </c>
      <c r="K118" s="55" t="str">
        <f t="shared" si="2"/>
        <v>Nov-2024</v>
      </c>
      <c r="L118" s="57">
        <f t="shared" si="3"/>
        <v>46171.25354</v>
      </c>
    </row>
    <row r="119" ht="15.75" customHeight="1">
      <c r="A119" s="55" t="s">
        <v>115</v>
      </c>
      <c r="B119" s="55" t="s">
        <v>98</v>
      </c>
      <c r="C119" s="55" t="s">
        <v>28</v>
      </c>
      <c r="D119" s="55" t="s">
        <v>25</v>
      </c>
      <c r="E119" s="55">
        <v>1014.22</v>
      </c>
      <c r="F119" s="55">
        <v>14.0</v>
      </c>
      <c r="G119" s="55">
        <v>0.05</v>
      </c>
      <c r="H119" s="56">
        <v>45599.0</v>
      </c>
      <c r="I119" s="55">
        <v>433.58</v>
      </c>
      <c r="J119" s="55">
        <f t="shared" si="1"/>
        <v>20774.74</v>
      </c>
      <c r="K119" s="55" t="str">
        <f t="shared" si="2"/>
        <v>Nov-2024</v>
      </c>
      <c r="L119" s="57">
        <f t="shared" si="3"/>
        <v>46171.25354</v>
      </c>
    </row>
    <row r="120" ht="15.75" customHeight="1">
      <c r="A120" s="55" t="s">
        <v>125</v>
      </c>
      <c r="B120" s="55" t="s">
        <v>119</v>
      </c>
      <c r="C120" s="55" t="s">
        <v>28</v>
      </c>
      <c r="D120" s="55" t="s">
        <v>21</v>
      </c>
      <c r="E120" s="55">
        <v>1010.58</v>
      </c>
      <c r="F120" s="55">
        <v>2.0</v>
      </c>
      <c r="G120" s="55">
        <v>0.15</v>
      </c>
      <c r="H120" s="56">
        <v>45605.0</v>
      </c>
      <c r="I120" s="55">
        <v>343.6</v>
      </c>
      <c r="J120" s="55">
        <f t="shared" si="1"/>
        <v>8090.12</v>
      </c>
      <c r="K120" s="55" t="str">
        <f t="shared" si="2"/>
        <v>Nov-2024</v>
      </c>
      <c r="L120" s="57">
        <f t="shared" si="3"/>
        <v>46171.25354</v>
      </c>
    </row>
    <row r="121" ht="15.75" customHeight="1">
      <c r="A121" s="55" t="s">
        <v>103</v>
      </c>
      <c r="B121" s="55" t="s">
        <v>130</v>
      </c>
      <c r="C121" s="55" t="s">
        <v>29</v>
      </c>
      <c r="D121" s="55" t="s">
        <v>24</v>
      </c>
      <c r="E121" s="55">
        <v>957.29</v>
      </c>
      <c r="F121" s="55">
        <v>4.0</v>
      </c>
      <c r="G121" s="55">
        <v>0.05</v>
      </c>
      <c r="H121" s="56">
        <v>45605.0</v>
      </c>
      <c r="I121" s="55">
        <v>318.3</v>
      </c>
      <c r="J121" s="55">
        <f t="shared" si="1"/>
        <v>5443.34</v>
      </c>
      <c r="K121" s="55" t="str">
        <f t="shared" si="2"/>
        <v>Nov-2024</v>
      </c>
      <c r="L121" s="57">
        <f t="shared" si="3"/>
        <v>46171.25354</v>
      </c>
    </row>
    <row r="122" ht="15.75" customHeight="1">
      <c r="A122" s="55" t="s">
        <v>101</v>
      </c>
      <c r="B122" s="55" t="s">
        <v>116</v>
      </c>
      <c r="C122" s="55" t="s">
        <v>29</v>
      </c>
      <c r="D122" s="55" t="s">
        <v>24</v>
      </c>
      <c r="E122" s="55">
        <v>1077.92</v>
      </c>
      <c r="F122" s="55">
        <v>3.0</v>
      </c>
      <c r="G122" s="55">
        <v>0.05</v>
      </c>
      <c r="H122" s="56">
        <v>45608.0</v>
      </c>
      <c r="I122" s="55">
        <v>358.41</v>
      </c>
      <c r="J122" s="55">
        <f t="shared" si="1"/>
        <v>8635.95</v>
      </c>
      <c r="K122" s="55" t="str">
        <f t="shared" si="2"/>
        <v>Nov-2024</v>
      </c>
      <c r="L122" s="57">
        <f t="shared" si="3"/>
        <v>46171.25354</v>
      </c>
    </row>
    <row r="123" ht="15.75" customHeight="1">
      <c r="A123" s="55" t="s">
        <v>123</v>
      </c>
      <c r="B123" s="55" t="s">
        <v>121</v>
      </c>
      <c r="C123" s="55" t="s">
        <v>30</v>
      </c>
      <c r="D123" s="55" t="s">
        <v>22</v>
      </c>
      <c r="E123" s="55">
        <v>1163.01</v>
      </c>
      <c r="F123" s="55">
        <v>5.0</v>
      </c>
      <c r="G123" s="55">
        <v>0.0</v>
      </c>
      <c r="H123" s="56">
        <v>45611.0</v>
      </c>
      <c r="I123" s="55">
        <v>581.5</v>
      </c>
      <c r="J123" s="55">
        <f t="shared" si="1"/>
        <v>5801.29</v>
      </c>
      <c r="K123" s="55" t="str">
        <f t="shared" si="2"/>
        <v>Nov-2024</v>
      </c>
      <c r="L123" s="57">
        <f t="shared" si="3"/>
        <v>46171.25354</v>
      </c>
    </row>
    <row r="124" ht="15.75" customHeight="1">
      <c r="A124" s="55" t="s">
        <v>125</v>
      </c>
      <c r="B124" s="55" t="s">
        <v>116</v>
      </c>
      <c r="C124" s="55" t="s">
        <v>28</v>
      </c>
      <c r="D124" s="55" t="s">
        <v>25</v>
      </c>
      <c r="E124" s="55">
        <v>1014.56</v>
      </c>
      <c r="F124" s="55">
        <v>10.0</v>
      </c>
      <c r="G124" s="55">
        <v>0.1</v>
      </c>
      <c r="H124" s="56">
        <v>45612.0</v>
      </c>
      <c r="I124" s="55">
        <v>410.9</v>
      </c>
      <c r="J124" s="55">
        <f t="shared" si="1"/>
        <v>8635.95</v>
      </c>
      <c r="K124" s="55" t="str">
        <f t="shared" si="2"/>
        <v>Nov-2024</v>
      </c>
      <c r="L124" s="57">
        <f t="shared" si="3"/>
        <v>46171.25354</v>
      </c>
    </row>
    <row r="125" ht="15.75" customHeight="1">
      <c r="A125" s="55" t="s">
        <v>91</v>
      </c>
      <c r="B125" s="55" t="s">
        <v>95</v>
      </c>
      <c r="C125" s="55" t="s">
        <v>30</v>
      </c>
      <c r="D125" s="55" t="s">
        <v>23</v>
      </c>
      <c r="E125" s="55">
        <v>718.04</v>
      </c>
      <c r="F125" s="55">
        <v>14.0</v>
      </c>
      <c r="G125" s="55">
        <v>0.0</v>
      </c>
      <c r="H125" s="56">
        <v>45613.0</v>
      </c>
      <c r="I125" s="55">
        <v>179.51</v>
      </c>
      <c r="J125" s="55">
        <f t="shared" si="1"/>
        <v>5615.28</v>
      </c>
      <c r="K125" s="55" t="str">
        <f t="shared" si="2"/>
        <v>Nov-2024</v>
      </c>
      <c r="L125" s="57">
        <f t="shared" si="3"/>
        <v>46171.25354</v>
      </c>
    </row>
    <row r="126" ht="15.75" customHeight="1">
      <c r="A126" s="55" t="s">
        <v>143</v>
      </c>
      <c r="B126" s="55" t="s">
        <v>95</v>
      </c>
      <c r="C126" s="55" t="s">
        <v>27</v>
      </c>
      <c r="D126" s="55" t="s">
        <v>22</v>
      </c>
      <c r="E126" s="55">
        <v>1277.85</v>
      </c>
      <c r="F126" s="55">
        <v>18.0</v>
      </c>
      <c r="G126" s="55">
        <v>0.2</v>
      </c>
      <c r="H126" s="56">
        <v>45613.0</v>
      </c>
      <c r="I126" s="55">
        <v>511.14</v>
      </c>
      <c r="J126" s="55">
        <f t="shared" si="1"/>
        <v>5615.28</v>
      </c>
      <c r="K126" s="55" t="str">
        <f t="shared" si="2"/>
        <v>Nov-2024</v>
      </c>
      <c r="L126" s="57">
        <f t="shared" si="3"/>
        <v>46171.25354</v>
      </c>
    </row>
    <row r="127" ht="15.75" customHeight="1">
      <c r="A127" s="55" t="s">
        <v>141</v>
      </c>
      <c r="B127" s="55" t="s">
        <v>98</v>
      </c>
      <c r="C127" s="55" t="s">
        <v>29</v>
      </c>
      <c r="D127" s="55" t="s">
        <v>23</v>
      </c>
      <c r="E127" s="55">
        <v>706.73</v>
      </c>
      <c r="F127" s="55">
        <v>1.0</v>
      </c>
      <c r="G127" s="55">
        <v>0.15</v>
      </c>
      <c r="H127" s="56">
        <v>45613.0</v>
      </c>
      <c r="I127" s="55">
        <v>150.18</v>
      </c>
      <c r="J127" s="55">
        <f t="shared" si="1"/>
        <v>20774.74</v>
      </c>
      <c r="K127" s="55" t="str">
        <f t="shared" si="2"/>
        <v>Nov-2024</v>
      </c>
      <c r="L127" s="57">
        <f t="shared" si="3"/>
        <v>46171.25354</v>
      </c>
    </row>
    <row r="128" ht="15.75" customHeight="1">
      <c r="A128" s="55" t="s">
        <v>136</v>
      </c>
      <c r="B128" s="55" t="s">
        <v>121</v>
      </c>
      <c r="C128" s="55" t="s">
        <v>28</v>
      </c>
      <c r="D128" s="55" t="s">
        <v>23</v>
      </c>
      <c r="E128" s="55">
        <v>1410.59</v>
      </c>
      <c r="F128" s="55">
        <v>15.0</v>
      </c>
      <c r="G128" s="55">
        <v>0.0</v>
      </c>
      <c r="H128" s="56">
        <v>45615.0</v>
      </c>
      <c r="I128" s="55">
        <v>352.65</v>
      </c>
      <c r="J128" s="55">
        <f t="shared" si="1"/>
        <v>5801.29</v>
      </c>
      <c r="K128" s="55" t="str">
        <f t="shared" si="2"/>
        <v>Nov-2024</v>
      </c>
      <c r="L128" s="57">
        <f t="shared" si="3"/>
        <v>46171.25354</v>
      </c>
    </row>
    <row r="129" ht="15.75" customHeight="1">
      <c r="A129" s="55" t="s">
        <v>105</v>
      </c>
      <c r="B129" s="55" t="s">
        <v>132</v>
      </c>
      <c r="C129" s="55" t="s">
        <v>30</v>
      </c>
      <c r="D129" s="55" t="s">
        <v>24</v>
      </c>
      <c r="E129" s="55">
        <v>1350.33</v>
      </c>
      <c r="F129" s="55">
        <v>10.0</v>
      </c>
      <c r="G129" s="55">
        <v>0.0</v>
      </c>
      <c r="H129" s="56">
        <v>45615.0</v>
      </c>
      <c r="I129" s="55">
        <v>472.62</v>
      </c>
      <c r="J129" s="55">
        <f t="shared" si="1"/>
        <v>8543.97</v>
      </c>
      <c r="K129" s="55" t="str">
        <f t="shared" si="2"/>
        <v>Nov-2024</v>
      </c>
      <c r="L129" s="57">
        <f t="shared" si="3"/>
        <v>46171.25354</v>
      </c>
    </row>
    <row r="130" ht="15.75" customHeight="1">
      <c r="A130" s="55" t="s">
        <v>112</v>
      </c>
      <c r="B130" s="55" t="s">
        <v>116</v>
      </c>
      <c r="C130" s="55" t="s">
        <v>28</v>
      </c>
      <c r="D130" s="55" t="s">
        <v>23</v>
      </c>
      <c r="E130" s="55">
        <v>919.18</v>
      </c>
      <c r="F130" s="55">
        <v>4.0</v>
      </c>
      <c r="G130" s="55">
        <v>0.15</v>
      </c>
      <c r="H130" s="56">
        <v>45615.0</v>
      </c>
      <c r="I130" s="55">
        <v>195.33</v>
      </c>
      <c r="J130" s="55">
        <f t="shared" si="1"/>
        <v>8635.95</v>
      </c>
      <c r="K130" s="55" t="str">
        <f t="shared" si="2"/>
        <v>Nov-2024</v>
      </c>
      <c r="L130" s="57">
        <f t="shared" si="3"/>
        <v>46171.25354</v>
      </c>
    </row>
    <row r="131" ht="15.75" customHeight="1">
      <c r="A131" s="55" t="s">
        <v>145</v>
      </c>
      <c r="B131" s="55" t="s">
        <v>98</v>
      </c>
      <c r="C131" s="55" t="s">
        <v>31</v>
      </c>
      <c r="D131" s="55" t="s">
        <v>23</v>
      </c>
      <c r="E131" s="55">
        <v>258.51</v>
      </c>
      <c r="F131" s="55">
        <v>19.0</v>
      </c>
      <c r="G131" s="55">
        <v>0.0</v>
      </c>
      <c r="H131" s="56">
        <v>45616.0</v>
      </c>
      <c r="I131" s="55">
        <v>64.63</v>
      </c>
      <c r="J131" s="55">
        <f t="shared" si="1"/>
        <v>20774.74</v>
      </c>
      <c r="K131" s="55" t="str">
        <f t="shared" si="2"/>
        <v>Nov-2024</v>
      </c>
      <c r="L131" s="57">
        <f t="shared" si="3"/>
        <v>46171.25354</v>
      </c>
    </row>
    <row r="132" ht="15.75" customHeight="1">
      <c r="A132" s="55" t="s">
        <v>134</v>
      </c>
      <c r="B132" s="55" t="s">
        <v>132</v>
      </c>
      <c r="C132" s="55" t="s">
        <v>28</v>
      </c>
      <c r="D132" s="55" t="s">
        <v>21</v>
      </c>
      <c r="E132" s="55">
        <v>1213.48</v>
      </c>
      <c r="F132" s="55">
        <v>5.0</v>
      </c>
      <c r="G132" s="55">
        <v>0.05</v>
      </c>
      <c r="H132" s="56">
        <v>45616.0</v>
      </c>
      <c r="I132" s="55">
        <v>461.12</v>
      </c>
      <c r="J132" s="55">
        <f t="shared" si="1"/>
        <v>8543.97</v>
      </c>
      <c r="K132" s="55" t="str">
        <f t="shared" si="2"/>
        <v>Nov-2024</v>
      </c>
      <c r="L132" s="57">
        <f t="shared" si="3"/>
        <v>46171.25354</v>
      </c>
    </row>
    <row r="133" ht="15.75" customHeight="1">
      <c r="A133" s="55" t="s">
        <v>128</v>
      </c>
      <c r="B133" s="55" t="s">
        <v>110</v>
      </c>
      <c r="C133" s="55" t="s">
        <v>27</v>
      </c>
      <c r="D133" s="55" t="s">
        <v>21</v>
      </c>
      <c r="E133" s="55">
        <v>1150.28</v>
      </c>
      <c r="F133" s="55">
        <v>8.0</v>
      </c>
      <c r="G133" s="55">
        <v>0.05</v>
      </c>
      <c r="H133" s="56">
        <v>45622.0</v>
      </c>
      <c r="I133" s="55">
        <v>437.11</v>
      </c>
      <c r="J133" s="55">
        <f t="shared" si="1"/>
        <v>11398.32</v>
      </c>
      <c r="K133" s="55" t="str">
        <f t="shared" si="2"/>
        <v>Nov-2024</v>
      </c>
      <c r="L133" s="57">
        <f t="shared" si="3"/>
        <v>46171.25354</v>
      </c>
    </row>
    <row r="134" ht="15.75" customHeight="1">
      <c r="A134" s="55" t="s">
        <v>109</v>
      </c>
      <c r="B134" s="55" t="s">
        <v>142</v>
      </c>
      <c r="C134" s="55" t="s">
        <v>30</v>
      </c>
      <c r="D134" s="55" t="s">
        <v>24</v>
      </c>
      <c r="E134" s="55">
        <v>853.86</v>
      </c>
      <c r="F134" s="55">
        <v>8.0</v>
      </c>
      <c r="G134" s="55">
        <v>0.1</v>
      </c>
      <c r="H134" s="56">
        <v>45622.0</v>
      </c>
      <c r="I134" s="55">
        <v>268.97</v>
      </c>
      <c r="J134" s="55">
        <f t="shared" si="1"/>
        <v>5465.71</v>
      </c>
      <c r="K134" s="55" t="str">
        <f t="shared" si="2"/>
        <v>Nov-2024</v>
      </c>
      <c r="L134" s="57">
        <f t="shared" si="3"/>
        <v>46171.25354</v>
      </c>
    </row>
    <row r="135" ht="15.75" customHeight="1">
      <c r="A135" s="55" t="s">
        <v>146</v>
      </c>
      <c r="B135" s="55" t="s">
        <v>116</v>
      </c>
      <c r="C135" s="55" t="s">
        <v>30</v>
      </c>
      <c r="D135" s="55" t="s">
        <v>23</v>
      </c>
      <c r="E135" s="55">
        <v>1061.04</v>
      </c>
      <c r="F135" s="55">
        <v>1.0</v>
      </c>
      <c r="G135" s="55">
        <v>0.0</v>
      </c>
      <c r="H135" s="56">
        <v>45624.0</v>
      </c>
      <c r="I135" s="55">
        <v>265.26</v>
      </c>
      <c r="J135" s="55">
        <f t="shared" si="1"/>
        <v>8635.95</v>
      </c>
      <c r="K135" s="55" t="str">
        <f t="shared" si="2"/>
        <v>Nov-2024</v>
      </c>
      <c r="L135" s="57">
        <f t="shared" si="3"/>
        <v>46171.25354</v>
      </c>
    </row>
    <row r="136" ht="15.75" customHeight="1">
      <c r="A136" s="55" t="s">
        <v>101</v>
      </c>
      <c r="B136" s="55" t="s">
        <v>114</v>
      </c>
      <c r="C136" s="55" t="s">
        <v>31</v>
      </c>
      <c r="D136" s="55" t="s">
        <v>23</v>
      </c>
      <c r="E136" s="55">
        <v>894.55</v>
      </c>
      <c r="F136" s="55">
        <v>19.0</v>
      </c>
      <c r="G136" s="55">
        <v>0.2</v>
      </c>
      <c r="H136" s="56">
        <v>45625.0</v>
      </c>
      <c r="I136" s="55">
        <v>178.91</v>
      </c>
      <c r="J136" s="55">
        <f t="shared" si="1"/>
        <v>7296.19</v>
      </c>
      <c r="K136" s="55" t="str">
        <f t="shared" si="2"/>
        <v>Nov-2024</v>
      </c>
      <c r="L136" s="57">
        <f t="shared" si="3"/>
        <v>46171.25354</v>
      </c>
    </row>
    <row r="137" ht="15.75" customHeight="1">
      <c r="A137" s="55" t="s">
        <v>99</v>
      </c>
      <c r="B137" s="55" t="s">
        <v>110</v>
      </c>
      <c r="C137" s="55" t="s">
        <v>29</v>
      </c>
      <c r="D137" s="55" t="s">
        <v>25</v>
      </c>
      <c r="E137" s="55">
        <v>833.91</v>
      </c>
      <c r="F137" s="55">
        <v>3.0</v>
      </c>
      <c r="G137" s="55">
        <v>0.05</v>
      </c>
      <c r="H137" s="56">
        <v>45626.0</v>
      </c>
      <c r="I137" s="55">
        <v>356.5</v>
      </c>
      <c r="J137" s="55">
        <f t="shared" si="1"/>
        <v>11398.32</v>
      </c>
      <c r="K137" s="55" t="str">
        <f t="shared" si="2"/>
        <v>Nov-2024</v>
      </c>
      <c r="L137" s="57">
        <f t="shared" si="3"/>
        <v>46171.25354</v>
      </c>
    </row>
    <row r="138" ht="15.75" customHeight="1">
      <c r="A138" s="55" t="s">
        <v>129</v>
      </c>
      <c r="B138" s="55" t="s">
        <v>142</v>
      </c>
      <c r="C138" s="55" t="s">
        <v>31</v>
      </c>
      <c r="D138" s="55" t="s">
        <v>24</v>
      </c>
      <c r="E138" s="55">
        <v>820.19</v>
      </c>
      <c r="F138" s="55">
        <v>4.0</v>
      </c>
      <c r="G138" s="55">
        <v>0.2</v>
      </c>
      <c r="H138" s="56">
        <v>45630.0</v>
      </c>
      <c r="I138" s="55">
        <v>229.65</v>
      </c>
      <c r="J138" s="55">
        <f t="shared" si="1"/>
        <v>5465.71</v>
      </c>
      <c r="K138" s="55" t="str">
        <f t="shared" si="2"/>
        <v>Dec-2024</v>
      </c>
      <c r="L138" s="57">
        <f t="shared" si="3"/>
        <v>46171.25354</v>
      </c>
    </row>
    <row r="139" ht="15.75" customHeight="1">
      <c r="A139" s="55" t="s">
        <v>129</v>
      </c>
      <c r="B139" s="55" t="s">
        <v>110</v>
      </c>
      <c r="C139" s="55" t="s">
        <v>27</v>
      </c>
      <c r="D139" s="55" t="s">
        <v>23</v>
      </c>
      <c r="E139" s="55">
        <v>511.74</v>
      </c>
      <c r="F139" s="55">
        <v>8.0</v>
      </c>
      <c r="G139" s="55">
        <v>0.05</v>
      </c>
      <c r="H139" s="56">
        <v>45631.0</v>
      </c>
      <c r="I139" s="55">
        <v>121.54</v>
      </c>
      <c r="J139" s="55">
        <f t="shared" si="1"/>
        <v>11398.32</v>
      </c>
      <c r="K139" s="55" t="str">
        <f t="shared" si="2"/>
        <v>Dec-2024</v>
      </c>
      <c r="L139" s="57">
        <f t="shared" si="3"/>
        <v>46171.25354</v>
      </c>
    </row>
    <row r="140" ht="15.75" customHeight="1">
      <c r="A140" s="55" t="s">
        <v>136</v>
      </c>
      <c r="B140" s="55" t="s">
        <v>132</v>
      </c>
      <c r="C140" s="55" t="s">
        <v>30</v>
      </c>
      <c r="D140" s="55" t="s">
        <v>24</v>
      </c>
      <c r="E140" s="55">
        <v>806.03</v>
      </c>
      <c r="F140" s="55">
        <v>19.0</v>
      </c>
      <c r="G140" s="55">
        <v>0.05</v>
      </c>
      <c r="H140" s="56">
        <v>45638.0</v>
      </c>
      <c r="I140" s="55">
        <v>268.0</v>
      </c>
      <c r="J140" s="55">
        <f t="shared" si="1"/>
        <v>8543.97</v>
      </c>
      <c r="K140" s="55" t="str">
        <f t="shared" si="2"/>
        <v>Dec-2024</v>
      </c>
      <c r="L140" s="57">
        <f t="shared" si="3"/>
        <v>46171.25354</v>
      </c>
    </row>
    <row r="141" ht="15.75" customHeight="1">
      <c r="A141" s="55" t="s">
        <v>101</v>
      </c>
      <c r="B141" s="55" t="s">
        <v>100</v>
      </c>
      <c r="C141" s="55" t="s">
        <v>27</v>
      </c>
      <c r="D141" s="55" t="s">
        <v>24</v>
      </c>
      <c r="E141" s="55">
        <v>1432.47</v>
      </c>
      <c r="F141" s="55">
        <v>16.0</v>
      </c>
      <c r="G141" s="55">
        <v>0.15</v>
      </c>
      <c r="H141" s="56">
        <v>45640.0</v>
      </c>
      <c r="I141" s="55">
        <v>426.16</v>
      </c>
      <c r="J141" s="55">
        <f t="shared" si="1"/>
        <v>7881.9</v>
      </c>
      <c r="K141" s="55" t="str">
        <f t="shared" si="2"/>
        <v>Dec-2024</v>
      </c>
      <c r="L141" s="57">
        <f t="shared" si="3"/>
        <v>46171.25354</v>
      </c>
    </row>
    <row r="142" ht="15.75" customHeight="1">
      <c r="A142" s="55" t="s">
        <v>145</v>
      </c>
      <c r="B142" s="55" t="s">
        <v>102</v>
      </c>
      <c r="C142" s="55" t="s">
        <v>27</v>
      </c>
      <c r="D142" s="55" t="s">
        <v>23</v>
      </c>
      <c r="E142" s="55">
        <v>1488.58</v>
      </c>
      <c r="F142" s="55">
        <v>10.0</v>
      </c>
      <c r="G142" s="55">
        <v>0.15</v>
      </c>
      <c r="H142" s="56">
        <v>45640.0</v>
      </c>
      <c r="I142" s="55">
        <v>316.32</v>
      </c>
      <c r="J142" s="55">
        <f t="shared" si="1"/>
        <v>9970.2</v>
      </c>
      <c r="K142" s="55" t="str">
        <f t="shared" si="2"/>
        <v>Dec-2024</v>
      </c>
      <c r="L142" s="57">
        <f t="shared" si="3"/>
        <v>46171.25354</v>
      </c>
    </row>
    <row r="143" ht="15.75" customHeight="1">
      <c r="A143" s="55" t="s">
        <v>103</v>
      </c>
      <c r="B143" s="55" t="s">
        <v>137</v>
      </c>
      <c r="C143" s="55" t="s">
        <v>28</v>
      </c>
      <c r="D143" s="55" t="s">
        <v>21</v>
      </c>
      <c r="E143" s="55">
        <v>1231.26</v>
      </c>
      <c r="F143" s="55">
        <v>9.0</v>
      </c>
      <c r="G143" s="55">
        <v>0.0</v>
      </c>
      <c r="H143" s="56">
        <v>45646.0</v>
      </c>
      <c r="I143" s="55">
        <v>492.5</v>
      </c>
      <c r="J143" s="55">
        <f t="shared" si="1"/>
        <v>5014.96</v>
      </c>
      <c r="K143" s="55" t="str">
        <f t="shared" si="2"/>
        <v>Dec-2024</v>
      </c>
      <c r="L143" s="57">
        <f t="shared" si="3"/>
        <v>46171.25354</v>
      </c>
    </row>
    <row r="144" ht="15.75" customHeight="1">
      <c r="A144" s="55" t="s">
        <v>103</v>
      </c>
      <c r="B144" s="55" t="s">
        <v>114</v>
      </c>
      <c r="C144" s="55" t="s">
        <v>31</v>
      </c>
      <c r="D144" s="55" t="s">
        <v>23</v>
      </c>
      <c r="E144" s="55">
        <v>1161.67</v>
      </c>
      <c r="F144" s="55">
        <v>19.0</v>
      </c>
      <c r="G144" s="55">
        <v>0.2</v>
      </c>
      <c r="H144" s="56">
        <v>45647.0</v>
      </c>
      <c r="I144" s="55">
        <v>232.33</v>
      </c>
      <c r="J144" s="55">
        <f t="shared" si="1"/>
        <v>7296.19</v>
      </c>
      <c r="K144" s="55" t="str">
        <f t="shared" si="2"/>
        <v>Dec-2024</v>
      </c>
      <c r="L144" s="57">
        <f t="shared" si="3"/>
        <v>46171.25354</v>
      </c>
    </row>
    <row r="145" ht="15.75" customHeight="1">
      <c r="A145" s="55" t="s">
        <v>120</v>
      </c>
      <c r="B145" s="55" t="s">
        <v>116</v>
      </c>
      <c r="C145" s="55" t="s">
        <v>27</v>
      </c>
      <c r="D145" s="55" t="s">
        <v>25</v>
      </c>
      <c r="E145" s="55">
        <v>388.23</v>
      </c>
      <c r="F145" s="55">
        <v>16.0</v>
      </c>
      <c r="G145" s="55">
        <v>0.05</v>
      </c>
      <c r="H145" s="56">
        <v>45650.0</v>
      </c>
      <c r="I145" s="55">
        <v>165.97</v>
      </c>
      <c r="J145" s="55">
        <f t="shared" si="1"/>
        <v>8635.95</v>
      </c>
      <c r="K145" s="55" t="str">
        <f t="shared" si="2"/>
        <v>Dec-2024</v>
      </c>
      <c r="L145" s="57">
        <f t="shared" si="3"/>
        <v>46171.25354</v>
      </c>
    </row>
    <row r="146" ht="15.75" customHeight="1">
      <c r="A146" s="55" t="s">
        <v>143</v>
      </c>
      <c r="B146" s="55" t="s">
        <v>104</v>
      </c>
      <c r="C146" s="55" t="s">
        <v>29</v>
      </c>
      <c r="D146" s="55" t="s">
        <v>22</v>
      </c>
      <c r="E146" s="55">
        <v>1589.42</v>
      </c>
      <c r="F146" s="55">
        <v>6.0</v>
      </c>
      <c r="G146" s="55">
        <v>0.15</v>
      </c>
      <c r="H146" s="56">
        <v>45651.0</v>
      </c>
      <c r="I146" s="55">
        <v>675.5</v>
      </c>
      <c r="J146" s="55">
        <f t="shared" si="1"/>
        <v>17143.29</v>
      </c>
      <c r="K146" s="55" t="str">
        <f t="shared" si="2"/>
        <v>Dec-2024</v>
      </c>
      <c r="L146" s="57">
        <f t="shared" si="3"/>
        <v>46171.25354</v>
      </c>
    </row>
    <row r="147" ht="15.75" customHeight="1">
      <c r="A147" s="55" t="s">
        <v>101</v>
      </c>
      <c r="B147" s="55" t="s">
        <v>142</v>
      </c>
      <c r="C147" s="55" t="s">
        <v>29</v>
      </c>
      <c r="D147" s="55" t="s">
        <v>22</v>
      </c>
      <c r="E147" s="55">
        <v>336.66</v>
      </c>
      <c r="F147" s="55">
        <v>13.0</v>
      </c>
      <c r="G147" s="55">
        <v>0.2</v>
      </c>
      <c r="H147" s="56">
        <v>45651.0</v>
      </c>
      <c r="I147" s="55">
        <v>134.66</v>
      </c>
      <c r="J147" s="55">
        <f t="shared" si="1"/>
        <v>5465.71</v>
      </c>
      <c r="K147" s="55" t="str">
        <f t="shared" si="2"/>
        <v>Dec-2024</v>
      </c>
      <c r="L147" s="57">
        <f t="shared" si="3"/>
        <v>46171.25354</v>
      </c>
    </row>
    <row r="148" ht="15.75" customHeight="1">
      <c r="A148" s="55" t="s">
        <v>120</v>
      </c>
      <c r="B148" s="55" t="s">
        <v>98</v>
      </c>
      <c r="C148" s="55" t="s">
        <v>31</v>
      </c>
      <c r="D148" s="55" t="s">
        <v>21</v>
      </c>
      <c r="E148" s="55">
        <v>1353.79</v>
      </c>
      <c r="F148" s="55">
        <v>14.0</v>
      </c>
      <c r="G148" s="55">
        <v>0.1</v>
      </c>
      <c r="H148" s="56">
        <v>45656.0</v>
      </c>
      <c r="I148" s="55">
        <v>487.36</v>
      </c>
      <c r="J148" s="55">
        <f t="shared" si="1"/>
        <v>20774.74</v>
      </c>
      <c r="K148" s="55" t="str">
        <f t="shared" si="2"/>
        <v>Dec-2024</v>
      </c>
      <c r="L148" s="57">
        <f t="shared" si="3"/>
        <v>46171.25354</v>
      </c>
    </row>
    <row r="149" ht="15.75" customHeight="1">
      <c r="A149" s="55" t="s">
        <v>134</v>
      </c>
      <c r="B149" s="55" t="s">
        <v>140</v>
      </c>
      <c r="C149" s="55" t="s">
        <v>27</v>
      </c>
      <c r="D149" s="55" t="s">
        <v>22</v>
      </c>
      <c r="E149" s="55">
        <v>662.61</v>
      </c>
      <c r="F149" s="55">
        <v>11.0</v>
      </c>
      <c r="G149" s="55">
        <v>0.05</v>
      </c>
      <c r="H149" s="56">
        <v>45658.0</v>
      </c>
      <c r="I149" s="55">
        <v>314.74</v>
      </c>
      <c r="J149" s="55">
        <f t="shared" si="1"/>
        <v>2304.9</v>
      </c>
      <c r="K149" s="55" t="str">
        <f t="shared" si="2"/>
        <v>Jan-2025</v>
      </c>
      <c r="L149" s="57">
        <f t="shared" si="3"/>
        <v>46171.25354</v>
      </c>
    </row>
    <row r="150" ht="15.75" customHeight="1">
      <c r="A150" s="55" t="s">
        <v>123</v>
      </c>
      <c r="B150" s="55" t="s">
        <v>119</v>
      </c>
      <c r="C150" s="55" t="s">
        <v>29</v>
      </c>
      <c r="D150" s="55" t="s">
        <v>25</v>
      </c>
      <c r="E150" s="55">
        <v>309.42</v>
      </c>
      <c r="F150" s="55">
        <v>1.0</v>
      </c>
      <c r="G150" s="55">
        <v>0.2</v>
      </c>
      <c r="H150" s="56">
        <v>45658.0</v>
      </c>
      <c r="I150" s="55">
        <v>111.39</v>
      </c>
      <c r="J150" s="55">
        <f t="shared" si="1"/>
        <v>8090.12</v>
      </c>
      <c r="K150" s="55" t="str">
        <f t="shared" si="2"/>
        <v>Jan-2025</v>
      </c>
      <c r="L150" s="57">
        <f t="shared" si="3"/>
        <v>46171.25354</v>
      </c>
    </row>
    <row r="151" ht="15.75" customHeight="1">
      <c r="A151" s="55" t="s">
        <v>134</v>
      </c>
      <c r="B151" s="55" t="s">
        <v>102</v>
      </c>
      <c r="C151" s="55" t="s">
        <v>29</v>
      </c>
      <c r="D151" s="55" t="s">
        <v>21</v>
      </c>
      <c r="E151" s="55">
        <v>884.63</v>
      </c>
      <c r="F151" s="55">
        <v>18.0</v>
      </c>
      <c r="G151" s="55">
        <v>0.1</v>
      </c>
      <c r="H151" s="56">
        <v>45659.0</v>
      </c>
      <c r="I151" s="55">
        <v>318.47</v>
      </c>
      <c r="J151" s="55">
        <f t="shared" si="1"/>
        <v>9970.2</v>
      </c>
      <c r="K151" s="55" t="str">
        <f t="shared" si="2"/>
        <v>Jan-2025</v>
      </c>
      <c r="L151" s="57">
        <f t="shared" si="3"/>
        <v>46171.25354</v>
      </c>
    </row>
    <row r="152" ht="15.75" customHeight="1">
      <c r="A152" s="55" t="s">
        <v>123</v>
      </c>
      <c r="B152" s="55" t="s">
        <v>98</v>
      </c>
      <c r="C152" s="55" t="s">
        <v>27</v>
      </c>
      <c r="D152" s="55" t="s">
        <v>25</v>
      </c>
      <c r="E152" s="55">
        <v>745.05</v>
      </c>
      <c r="F152" s="55">
        <v>10.0</v>
      </c>
      <c r="G152" s="55">
        <v>0.1</v>
      </c>
      <c r="H152" s="56">
        <v>45660.0</v>
      </c>
      <c r="I152" s="55">
        <v>301.75</v>
      </c>
      <c r="J152" s="55">
        <f t="shared" si="1"/>
        <v>20774.74</v>
      </c>
      <c r="K152" s="55" t="str">
        <f t="shared" si="2"/>
        <v>Jan-2025</v>
      </c>
      <c r="L152" s="57">
        <f t="shared" si="3"/>
        <v>46171.25354</v>
      </c>
    </row>
    <row r="153" ht="15.75" customHeight="1">
      <c r="A153" s="55" t="s">
        <v>131</v>
      </c>
      <c r="B153" s="55" t="s">
        <v>95</v>
      </c>
      <c r="C153" s="55" t="s">
        <v>30</v>
      </c>
      <c r="D153" s="55" t="s">
        <v>22</v>
      </c>
      <c r="E153" s="55">
        <v>870.23</v>
      </c>
      <c r="F153" s="55">
        <v>5.0</v>
      </c>
      <c r="G153" s="55">
        <v>0.05</v>
      </c>
      <c r="H153" s="56">
        <v>45660.0</v>
      </c>
      <c r="I153" s="55">
        <v>413.36</v>
      </c>
      <c r="J153" s="55">
        <f t="shared" si="1"/>
        <v>5615.28</v>
      </c>
      <c r="K153" s="55" t="str">
        <f t="shared" si="2"/>
        <v>Jan-2025</v>
      </c>
      <c r="L153" s="57">
        <f t="shared" si="3"/>
        <v>46171.25354</v>
      </c>
    </row>
    <row r="154" ht="15.75" customHeight="1">
      <c r="A154" s="55" t="s">
        <v>107</v>
      </c>
      <c r="B154" s="55" t="s">
        <v>102</v>
      </c>
      <c r="C154" s="55" t="s">
        <v>31</v>
      </c>
      <c r="D154" s="55" t="s">
        <v>24</v>
      </c>
      <c r="E154" s="55">
        <v>862.19</v>
      </c>
      <c r="F154" s="55">
        <v>18.0</v>
      </c>
      <c r="G154" s="55">
        <v>0.05</v>
      </c>
      <c r="H154" s="56">
        <v>45663.0</v>
      </c>
      <c r="I154" s="55">
        <v>286.68</v>
      </c>
      <c r="J154" s="55">
        <f t="shared" si="1"/>
        <v>9970.2</v>
      </c>
      <c r="K154" s="55" t="str">
        <f t="shared" si="2"/>
        <v>Jan-2025</v>
      </c>
      <c r="L154" s="57">
        <f t="shared" si="3"/>
        <v>46171.25354</v>
      </c>
    </row>
    <row r="155" ht="15.75" customHeight="1">
      <c r="A155" s="55" t="s">
        <v>144</v>
      </c>
      <c r="B155" s="55" t="s">
        <v>130</v>
      </c>
      <c r="C155" s="55" t="s">
        <v>29</v>
      </c>
      <c r="D155" s="55" t="s">
        <v>22</v>
      </c>
      <c r="E155" s="55">
        <v>1171.18</v>
      </c>
      <c r="F155" s="55">
        <v>19.0</v>
      </c>
      <c r="G155" s="55">
        <v>0.05</v>
      </c>
      <c r="H155" s="56">
        <v>45667.0</v>
      </c>
      <c r="I155" s="55">
        <v>556.31</v>
      </c>
      <c r="J155" s="55">
        <f t="shared" si="1"/>
        <v>5443.34</v>
      </c>
      <c r="K155" s="55" t="str">
        <f t="shared" si="2"/>
        <v>Jan-2025</v>
      </c>
      <c r="L155" s="57">
        <f t="shared" si="3"/>
        <v>46171.25354</v>
      </c>
    </row>
    <row r="156" ht="15.75" customHeight="1">
      <c r="A156" s="55" t="s">
        <v>129</v>
      </c>
      <c r="B156" s="55" t="s">
        <v>8</v>
      </c>
      <c r="C156" s="55" t="s">
        <v>30</v>
      </c>
      <c r="D156" s="55" t="s">
        <v>24</v>
      </c>
      <c r="E156" s="55">
        <v>1054.56</v>
      </c>
      <c r="F156" s="55">
        <v>11.0</v>
      </c>
      <c r="G156" s="55">
        <v>0.1</v>
      </c>
      <c r="H156" s="56">
        <v>45669.0</v>
      </c>
      <c r="I156" s="55">
        <v>332.19</v>
      </c>
      <c r="J156" s="55">
        <f t="shared" si="1"/>
        <v>8331.85</v>
      </c>
      <c r="K156" s="55" t="str">
        <f t="shared" si="2"/>
        <v>Jan-2025</v>
      </c>
      <c r="L156" s="57">
        <f t="shared" si="3"/>
        <v>46171.25354</v>
      </c>
    </row>
    <row r="157" ht="15.75" customHeight="1">
      <c r="A157" s="55" t="s">
        <v>129</v>
      </c>
      <c r="B157" s="55" t="s">
        <v>98</v>
      </c>
      <c r="C157" s="55" t="s">
        <v>29</v>
      </c>
      <c r="D157" s="55" t="s">
        <v>23</v>
      </c>
      <c r="E157" s="55">
        <v>1681.21</v>
      </c>
      <c r="F157" s="55">
        <v>5.0</v>
      </c>
      <c r="G157" s="55">
        <v>0.2</v>
      </c>
      <c r="H157" s="56">
        <v>45670.0</v>
      </c>
      <c r="I157" s="55">
        <v>336.24</v>
      </c>
      <c r="J157" s="55">
        <f t="shared" si="1"/>
        <v>20774.74</v>
      </c>
      <c r="K157" s="55" t="str">
        <f t="shared" si="2"/>
        <v>Jan-2025</v>
      </c>
      <c r="L157" s="57">
        <f t="shared" si="3"/>
        <v>46171.25354</v>
      </c>
    </row>
    <row r="158" ht="15.75" customHeight="1">
      <c r="A158" s="55" t="s">
        <v>129</v>
      </c>
      <c r="B158" s="55" t="s">
        <v>108</v>
      </c>
      <c r="C158" s="55" t="s">
        <v>31</v>
      </c>
      <c r="D158" s="55" t="s">
        <v>22</v>
      </c>
      <c r="E158" s="55">
        <v>379.77</v>
      </c>
      <c r="F158" s="55">
        <v>9.0</v>
      </c>
      <c r="G158" s="55">
        <v>0.05</v>
      </c>
      <c r="H158" s="56">
        <v>45673.0</v>
      </c>
      <c r="I158" s="55">
        <v>180.39</v>
      </c>
      <c r="J158" s="55">
        <f t="shared" si="1"/>
        <v>7020.38</v>
      </c>
      <c r="K158" s="55" t="str">
        <f t="shared" si="2"/>
        <v>Jan-2025</v>
      </c>
      <c r="L158" s="57">
        <f t="shared" si="3"/>
        <v>46171.25354</v>
      </c>
    </row>
    <row r="159" ht="15.75" customHeight="1">
      <c r="A159" s="55" t="s">
        <v>115</v>
      </c>
      <c r="B159" s="55" t="s">
        <v>116</v>
      </c>
      <c r="C159" s="55" t="s">
        <v>27</v>
      </c>
      <c r="D159" s="55" t="s">
        <v>22</v>
      </c>
      <c r="E159" s="55">
        <v>1076.33</v>
      </c>
      <c r="F159" s="55">
        <v>2.0</v>
      </c>
      <c r="G159" s="55">
        <v>0.1</v>
      </c>
      <c r="H159" s="56">
        <v>45674.0</v>
      </c>
      <c r="I159" s="55">
        <v>484.35</v>
      </c>
      <c r="J159" s="55">
        <f t="shared" si="1"/>
        <v>8635.95</v>
      </c>
      <c r="K159" s="55" t="str">
        <f t="shared" si="2"/>
        <v>Jan-2025</v>
      </c>
      <c r="L159" s="57">
        <f t="shared" si="3"/>
        <v>46171.25354</v>
      </c>
    </row>
    <row r="160" ht="15.75" customHeight="1">
      <c r="A160" s="55" t="s">
        <v>115</v>
      </c>
      <c r="B160" s="55" t="s">
        <v>104</v>
      </c>
      <c r="C160" s="55" t="s">
        <v>27</v>
      </c>
      <c r="D160" s="55" t="s">
        <v>25</v>
      </c>
      <c r="E160" s="55">
        <v>1250.71</v>
      </c>
      <c r="F160" s="55">
        <v>7.0</v>
      </c>
      <c r="G160" s="55">
        <v>0.0</v>
      </c>
      <c r="H160" s="56">
        <v>45674.0</v>
      </c>
      <c r="I160" s="55">
        <v>562.82</v>
      </c>
      <c r="J160" s="55">
        <f t="shared" si="1"/>
        <v>17143.29</v>
      </c>
      <c r="K160" s="55" t="str">
        <f t="shared" si="2"/>
        <v>Jan-2025</v>
      </c>
      <c r="L160" s="57">
        <f t="shared" si="3"/>
        <v>46171.25354</v>
      </c>
    </row>
    <row r="161" ht="15.75" customHeight="1">
      <c r="A161" s="55" t="s">
        <v>111</v>
      </c>
      <c r="B161" s="55" t="s">
        <v>95</v>
      </c>
      <c r="C161" s="55" t="s">
        <v>30</v>
      </c>
      <c r="D161" s="55" t="s">
        <v>22</v>
      </c>
      <c r="E161" s="55">
        <v>1118.34</v>
      </c>
      <c r="F161" s="55">
        <v>6.0</v>
      </c>
      <c r="G161" s="55">
        <v>0.2</v>
      </c>
      <c r="H161" s="56">
        <v>45674.0</v>
      </c>
      <c r="I161" s="55">
        <v>447.34</v>
      </c>
      <c r="J161" s="55">
        <f t="shared" si="1"/>
        <v>5615.28</v>
      </c>
      <c r="K161" s="55" t="str">
        <f t="shared" si="2"/>
        <v>Jan-2025</v>
      </c>
      <c r="L161" s="57">
        <f t="shared" si="3"/>
        <v>46171.25354</v>
      </c>
    </row>
    <row r="162" ht="15.75" customHeight="1">
      <c r="A162" s="55" t="s">
        <v>141</v>
      </c>
      <c r="B162" s="55" t="s">
        <v>124</v>
      </c>
      <c r="C162" s="55" t="s">
        <v>29</v>
      </c>
      <c r="D162" s="55" t="s">
        <v>22</v>
      </c>
      <c r="E162" s="55">
        <v>1622.62</v>
      </c>
      <c r="F162" s="55">
        <v>12.0</v>
      </c>
      <c r="G162" s="55">
        <v>0.2</v>
      </c>
      <c r="H162" s="56">
        <v>45677.0</v>
      </c>
      <c r="I162" s="55">
        <v>649.05</v>
      </c>
      <c r="J162" s="55">
        <f t="shared" si="1"/>
        <v>7522.77</v>
      </c>
      <c r="K162" s="55" t="str">
        <f t="shared" si="2"/>
        <v>Jan-2025</v>
      </c>
      <c r="L162" s="57">
        <f t="shared" si="3"/>
        <v>46171.25354</v>
      </c>
    </row>
    <row r="163" ht="15.75" customHeight="1">
      <c r="A163" s="55" t="s">
        <v>146</v>
      </c>
      <c r="B163" s="55" t="s">
        <v>119</v>
      </c>
      <c r="C163" s="55" t="s">
        <v>29</v>
      </c>
      <c r="D163" s="55" t="s">
        <v>21</v>
      </c>
      <c r="E163" s="55">
        <v>640.64</v>
      </c>
      <c r="F163" s="55">
        <v>11.0</v>
      </c>
      <c r="G163" s="55">
        <v>0.2</v>
      </c>
      <c r="H163" s="56">
        <v>45678.0</v>
      </c>
      <c r="I163" s="55">
        <v>205.0</v>
      </c>
      <c r="J163" s="55">
        <f t="shared" si="1"/>
        <v>8090.12</v>
      </c>
      <c r="K163" s="55" t="str">
        <f t="shared" si="2"/>
        <v>Jan-2025</v>
      </c>
      <c r="L163" s="57">
        <f t="shared" si="3"/>
        <v>46171.25354</v>
      </c>
    </row>
    <row r="164" ht="15.75" customHeight="1">
      <c r="A164" s="55" t="s">
        <v>97</v>
      </c>
      <c r="B164" s="55" t="s">
        <v>114</v>
      </c>
      <c r="C164" s="55" t="s">
        <v>31</v>
      </c>
      <c r="D164" s="55" t="s">
        <v>22</v>
      </c>
      <c r="E164" s="55">
        <v>585.16</v>
      </c>
      <c r="F164" s="55">
        <v>17.0</v>
      </c>
      <c r="G164" s="55">
        <v>0.1</v>
      </c>
      <c r="H164" s="56">
        <v>45684.0</v>
      </c>
      <c r="I164" s="55">
        <v>263.32</v>
      </c>
      <c r="J164" s="55">
        <f t="shared" si="1"/>
        <v>7296.19</v>
      </c>
      <c r="K164" s="55" t="str">
        <f t="shared" si="2"/>
        <v>Jan-2025</v>
      </c>
      <c r="L164" s="57">
        <f t="shared" si="3"/>
        <v>46171.25354</v>
      </c>
    </row>
    <row r="165" ht="15.75" customHeight="1">
      <c r="A165" s="55" t="s">
        <v>97</v>
      </c>
      <c r="B165" s="55" t="s">
        <v>104</v>
      </c>
      <c r="C165" s="55" t="s">
        <v>28</v>
      </c>
      <c r="D165" s="55" t="s">
        <v>22</v>
      </c>
      <c r="E165" s="55">
        <v>1109.98</v>
      </c>
      <c r="F165" s="55">
        <v>5.0</v>
      </c>
      <c r="G165" s="55">
        <v>0.2</v>
      </c>
      <c r="H165" s="56">
        <v>45690.0</v>
      </c>
      <c r="I165" s="55">
        <v>443.99</v>
      </c>
      <c r="J165" s="55">
        <f t="shared" si="1"/>
        <v>17143.29</v>
      </c>
      <c r="K165" s="55" t="str">
        <f t="shared" si="2"/>
        <v>Feb-2025</v>
      </c>
      <c r="L165" s="57">
        <f t="shared" si="3"/>
        <v>46171.25354</v>
      </c>
    </row>
    <row r="166" ht="15.75" customHeight="1">
      <c r="A166" s="55" t="s">
        <v>129</v>
      </c>
      <c r="B166" s="55" t="s">
        <v>116</v>
      </c>
      <c r="C166" s="55" t="s">
        <v>28</v>
      </c>
      <c r="D166" s="55" t="s">
        <v>21</v>
      </c>
      <c r="E166" s="55">
        <v>1098.08</v>
      </c>
      <c r="F166" s="55">
        <v>9.0</v>
      </c>
      <c r="G166" s="55">
        <v>0.1</v>
      </c>
      <c r="H166" s="56">
        <v>45692.0</v>
      </c>
      <c r="I166" s="55">
        <v>395.31</v>
      </c>
      <c r="J166" s="55">
        <f t="shared" si="1"/>
        <v>8635.95</v>
      </c>
      <c r="K166" s="55" t="str">
        <f t="shared" si="2"/>
        <v>Feb-2025</v>
      </c>
      <c r="L166" s="57">
        <f t="shared" si="3"/>
        <v>46171.25354</v>
      </c>
    </row>
    <row r="167" ht="15.75" customHeight="1">
      <c r="A167" s="55" t="s">
        <v>136</v>
      </c>
      <c r="B167" s="55" t="s">
        <v>119</v>
      </c>
      <c r="C167" s="55" t="s">
        <v>31</v>
      </c>
      <c r="D167" s="55" t="s">
        <v>25</v>
      </c>
      <c r="E167" s="55">
        <v>827.25</v>
      </c>
      <c r="F167" s="55">
        <v>7.0</v>
      </c>
      <c r="G167" s="55">
        <v>0.1</v>
      </c>
      <c r="H167" s="56">
        <v>45693.0</v>
      </c>
      <c r="I167" s="55">
        <v>335.04</v>
      </c>
      <c r="J167" s="55">
        <f t="shared" si="1"/>
        <v>8090.12</v>
      </c>
      <c r="K167" s="55" t="str">
        <f t="shared" si="2"/>
        <v>Feb-2025</v>
      </c>
      <c r="L167" s="57">
        <f t="shared" si="3"/>
        <v>46171.25354</v>
      </c>
    </row>
    <row r="168" ht="15.75" customHeight="1">
      <c r="A168" s="55" t="s">
        <v>141</v>
      </c>
      <c r="B168" s="55" t="s">
        <v>102</v>
      </c>
      <c r="C168" s="55" t="s">
        <v>27</v>
      </c>
      <c r="D168" s="55" t="s">
        <v>22</v>
      </c>
      <c r="E168" s="55">
        <v>741.88</v>
      </c>
      <c r="F168" s="55">
        <v>16.0</v>
      </c>
      <c r="G168" s="55">
        <v>0.1</v>
      </c>
      <c r="H168" s="56">
        <v>45695.0</v>
      </c>
      <c r="I168" s="55">
        <v>333.85</v>
      </c>
      <c r="J168" s="55">
        <f t="shared" si="1"/>
        <v>9970.2</v>
      </c>
      <c r="K168" s="55" t="str">
        <f t="shared" si="2"/>
        <v>Feb-2025</v>
      </c>
      <c r="L168" s="57">
        <f t="shared" si="3"/>
        <v>46171.25354</v>
      </c>
    </row>
    <row r="169" ht="15.75" customHeight="1">
      <c r="A169" s="55" t="s">
        <v>143</v>
      </c>
      <c r="B169" s="55" t="s">
        <v>92</v>
      </c>
      <c r="C169" s="55" t="s">
        <v>28</v>
      </c>
      <c r="D169" s="55" t="s">
        <v>25</v>
      </c>
      <c r="E169" s="55">
        <v>1311.26</v>
      </c>
      <c r="F169" s="55">
        <v>6.0</v>
      </c>
      <c r="G169" s="55">
        <v>0.1</v>
      </c>
      <c r="H169" s="56">
        <v>45698.0</v>
      </c>
      <c r="I169" s="55">
        <v>531.06</v>
      </c>
      <c r="J169" s="55">
        <f t="shared" si="1"/>
        <v>6255.7</v>
      </c>
      <c r="K169" s="55" t="str">
        <f t="shared" si="2"/>
        <v>Feb-2025</v>
      </c>
      <c r="L169" s="57">
        <f t="shared" si="3"/>
        <v>46171.25354</v>
      </c>
    </row>
    <row r="170" ht="15.75" customHeight="1">
      <c r="A170" s="55" t="s">
        <v>143</v>
      </c>
      <c r="B170" s="55" t="s">
        <v>104</v>
      </c>
      <c r="C170" s="55" t="s">
        <v>30</v>
      </c>
      <c r="D170" s="55" t="s">
        <v>25</v>
      </c>
      <c r="E170" s="55">
        <v>573.32</v>
      </c>
      <c r="F170" s="55">
        <v>19.0</v>
      </c>
      <c r="G170" s="55">
        <v>0.1</v>
      </c>
      <c r="H170" s="56">
        <v>45703.0</v>
      </c>
      <c r="I170" s="55">
        <v>232.19</v>
      </c>
      <c r="J170" s="55">
        <f t="shared" si="1"/>
        <v>17143.29</v>
      </c>
      <c r="K170" s="55" t="str">
        <f t="shared" si="2"/>
        <v>Feb-2025</v>
      </c>
      <c r="L170" s="57">
        <f t="shared" si="3"/>
        <v>46171.25354</v>
      </c>
    </row>
    <row r="171" ht="15.75" customHeight="1">
      <c r="A171" s="55" t="s">
        <v>123</v>
      </c>
      <c r="B171" s="55" t="s">
        <v>98</v>
      </c>
      <c r="C171" s="55" t="s">
        <v>31</v>
      </c>
      <c r="D171" s="55" t="s">
        <v>23</v>
      </c>
      <c r="E171" s="55">
        <v>1115.22</v>
      </c>
      <c r="F171" s="55">
        <v>14.0</v>
      </c>
      <c r="G171" s="55">
        <v>0.2</v>
      </c>
      <c r="H171" s="56">
        <v>45705.0</v>
      </c>
      <c r="I171" s="55">
        <v>223.04</v>
      </c>
      <c r="J171" s="55">
        <f t="shared" si="1"/>
        <v>20774.74</v>
      </c>
      <c r="K171" s="55" t="str">
        <f t="shared" si="2"/>
        <v>Feb-2025</v>
      </c>
      <c r="L171" s="57">
        <f t="shared" si="3"/>
        <v>46171.25354</v>
      </c>
    </row>
    <row r="172" ht="15.75" customHeight="1">
      <c r="A172" s="55" t="s">
        <v>93</v>
      </c>
      <c r="B172" s="55" t="s">
        <v>116</v>
      </c>
      <c r="C172" s="55" t="s">
        <v>29</v>
      </c>
      <c r="D172" s="55" t="s">
        <v>22</v>
      </c>
      <c r="E172" s="55">
        <v>845.84</v>
      </c>
      <c r="F172" s="55">
        <v>4.0</v>
      </c>
      <c r="G172" s="55">
        <v>0.0</v>
      </c>
      <c r="H172" s="56">
        <v>45707.0</v>
      </c>
      <c r="I172" s="55">
        <v>422.92</v>
      </c>
      <c r="J172" s="55">
        <f t="shared" si="1"/>
        <v>8635.95</v>
      </c>
      <c r="K172" s="55" t="str">
        <f t="shared" si="2"/>
        <v>Feb-2025</v>
      </c>
      <c r="L172" s="57">
        <f t="shared" si="3"/>
        <v>46171.25354</v>
      </c>
    </row>
    <row r="173" ht="15.75" customHeight="1">
      <c r="A173" s="55" t="s">
        <v>103</v>
      </c>
      <c r="B173" s="55" t="s">
        <v>126</v>
      </c>
      <c r="C173" s="55" t="s">
        <v>31</v>
      </c>
      <c r="D173" s="55" t="s">
        <v>23</v>
      </c>
      <c r="E173" s="55">
        <v>1029.8</v>
      </c>
      <c r="F173" s="55">
        <v>3.0</v>
      </c>
      <c r="G173" s="55">
        <v>0.0</v>
      </c>
      <c r="H173" s="56">
        <v>45708.0</v>
      </c>
      <c r="I173" s="55">
        <v>257.45</v>
      </c>
      <c r="J173" s="55">
        <f t="shared" si="1"/>
        <v>11915.83</v>
      </c>
      <c r="K173" s="55" t="str">
        <f t="shared" si="2"/>
        <v>Feb-2025</v>
      </c>
      <c r="L173" s="57">
        <f t="shared" si="3"/>
        <v>46171.25354</v>
      </c>
    </row>
    <row r="174" ht="15.75" customHeight="1">
      <c r="A174" s="55" t="s">
        <v>105</v>
      </c>
      <c r="B174" s="55" t="s">
        <v>104</v>
      </c>
      <c r="C174" s="55" t="s">
        <v>29</v>
      </c>
      <c r="D174" s="55" t="s">
        <v>21</v>
      </c>
      <c r="E174" s="55">
        <v>1189.83</v>
      </c>
      <c r="F174" s="55">
        <v>2.0</v>
      </c>
      <c r="G174" s="55">
        <v>0.2</v>
      </c>
      <c r="H174" s="56">
        <v>45709.0</v>
      </c>
      <c r="I174" s="55">
        <v>380.75</v>
      </c>
      <c r="J174" s="55">
        <f t="shared" si="1"/>
        <v>17143.29</v>
      </c>
      <c r="K174" s="55" t="str">
        <f t="shared" si="2"/>
        <v>Feb-2025</v>
      </c>
      <c r="L174" s="57">
        <f t="shared" si="3"/>
        <v>46171.25354</v>
      </c>
    </row>
    <row r="175" ht="15.75" customHeight="1">
      <c r="A175" s="55" t="s">
        <v>138</v>
      </c>
      <c r="B175" s="55" t="s">
        <v>114</v>
      </c>
      <c r="C175" s="55" t="s">
        <v>30</v>
      </c>
      <c r="D175" s="55" t="s">
        <v>21</v>
      </c>
      <c r="E175" s="55">
        <v>704.28</v>
      </c>
      <c r="F175" s="55">
        <v>15.0</v>
      </c>
      <c r="G175" s="55">
        <v>0.2</v>
      </c>
      <c r="H175" s="56">
        <v>45712.0</v>
      </c>
      <c r="I175" s="55">
        <v>225.37</v>
      </c>
      <c r="J175" s="55">
        <f t="shared" si="1"/>
        <v>7296.19</v>
      </c>
      <c r="K175" s="55" t="str">
        <f t="shared" si="2"/>
        <v>Feb-2025</v>
      </c>
      <c r="L175" s="57">
        <f t="shared" si="3"/>
        <v>46171.25354</v>
      </c>
    </row>
    <row r="176" ht="15.75" customHeight="1">
      <c r="A176" s="55" t="s">
        <v>136</v>
      </c>
      <c r="B176" s="55" t="s">
        <v>118</v>
      </c>
      <c r="C176" s="55" t="s">
        <v>27</v>
      </c>
      <c r="D176" s="55" t="s">
        <v>25</v>
      </c>
      <c r="E176" s="55">
        <v>1618.22</v>
      </c>
      <c r="F176" s="55">
        <v>12.0</v>
      </c>
      <c r="G176" s="55">
        <v>0.2</v>
      </c>
      <c r="H176" s="56">
        <v>45712.0</v>
      </c>
      <c r="I176" s="55">
        <v>582.56</v>
      </c>
      <c r="J176" s="55">
        <f t="shared" si="1"/>
        <v>7251.18</v>
      </c>
      <c r="K176" s="55" t="str">
        <f t="shared" si="2"/>
        <v>Feb-2025</v>
      </c>
      <c r="L176" s="57">
        <f t="shared" si="3"/>
        <v>46171.25354</v>
      </c>
    </row>
    <row r="177" ht="15.75" customHeight="1">
      <c r="A177" s="55" t="s">
        <v>144</v>
      </c>
      <c r="B177" s="55" t="s">
        <v>124</v>
      </c>
      <c r="C177" s="55" t="s">
        <v>27</v>
      </c>
      <c r="D177" s="55" t="s">
        <v>21</v>
      </c>
      <c r="E177" s="55">
        <v>1014.43</v>
      </c>
      <c r="F177" s="55">
        <v>2.0</v>
      </c>
      <c r="G177" s="55">
        <v>0.15</v>
      </c>
      <c r="H177" s="56">
        <v>45713.0</v>
      </c>
      <c r="I177" s="55">
        <v>344.91</v>
      </c>
      <c r="J177" s="55">
        <f t="shared" si="1"/>
        <v>7522.77</v>
      </c>
      <c r="K177" s="55" t="str">
        <f t="shared" si="2"/>
        <v>Feb-2025</v>
      </c>
      <c r="L177" s="57">
        <f t="shared" si="3"/>
        <v>46171.25354</v>
      </c>
    </row>
    <row r="178" ht="15.75" customHeight="1">
      <c r="A178" s="55" t="s">
        <v>146</v>
      </c>
      <c r="B178" s="55" t="s">
        <v>104</v>
      </c>
      <c r="C178" s="55" t="s">
        <v>27</v>
      </c>
      <c r="D178" s="55" t="s">
        <v>22</v>
      </c>
      <c r="E178" s="55">
        <v>826.97</v>
      </c>
      <c r="F178" s="55">
        <v>18.0</v>
      </c>
      <c r="G178" s="55">
        <v>0.2</v>
      </c>
      <c r="H178" s="56">
        <v>45715.0</v>
      </c>
      <c r="I178" s="55">
        <v>330.79</v>
      </c>
      <c r="J178" s="55">
        <f t="shared" si="1"/>
        <v>17143.29</v>
      </c>
      <c r="K178" s="55" t="str">
        <f t="shared" si="2"/>
        <v>Feb-2025</v>
      </c>
      <c r="L178" s="57">
        <f t="shared" si="3"/>
        <v>46171.25354</v>
      </c>
    </row>
    <row r="179" ht="15.75" customHeight="1">
      <c r="A179" s="55" t="s">
        <v>94</v>
      </c>
      <c r="B179" s="55" t="s">
        <v>104</v>
      </c>
      <c r="C179" s="55" t="s">
        <v>27</v>
      </c>
      <c r="D179" s="55" t="s">
        <v>22</v>
      </c>
      <c r="E179" s="55">
        <v>1022.23</v>
      </c>
      <c r="F179" s="55">
        <v>8.0</v>
      </c>
      <c r="G179" s="55">
        <v>0.1</v>
      </c>
      <c r="H179" s="56">
        <v>45717.0</v>
      </c>
      <c r="I179" s="55">
        <v>460.0</v>
      </c>
      <c r="J179" s="55">
        <f t="shared" si="1"/>
        <v>17143.29</v>
      </c>
      <c r="K179" s="55" t="str">
        <f t="shared" si="2"/>
        <v>Mar-2025</v>
      </c>
      <c r="L179" s="57">
        <f t="shared" si="3"/>
        <v>46171.25354</v>
      </c>
    </row>
    <row r="180" ht="15.75" customHeight="1">
      <c r="A180" s="55" t="s">
        <v>143</v>
      </c>
      <c r="B180" s="55" t="s">
        <v>102</v>
      </c>
      <c r="C180" s="55" t="s">
        <v>28</v>
      </c>
      <c r="D180" s="55" t="s">
        <v>21</v>
      </c>
      <c r="E180" s="55">
        <v>1099.69</v>
      </c>
      <c r="F180" s="55">
        <v>6.0</v>
      </c>
      <c r="G180" s="55">
        <v>0.0</v>
      </c>
      <c r="H180" s="56">
        <v>45718.0</v>
      </c>
      <c r="I180" s="55">
        <v>439.88</v>
      </c>
      <c r="J180" s="55">
        <f t="shared" si="1"/>
        <v>9970.2</v>
      </c>
      <c r="K180" s="55" t="str">
        <f t="shared" si="2"/>
        <v>Mar-2025</v>
      </c>
      <c r="L180" s="57">
        <f t="shared" si="3"/>
        <v>46171.25354</v>
      </c>
    </row>
    <row r="181" ht="15.75" customHeight="1">
      <c r="A181" s="55" t="s">
        <v>123</v>
      </c>
      <c r="B181" s="55" t="s">
        <v>135</v>
      </c>
      <c r="C181" s="55" t="s">
        <v>29</v>
      </c>
      <c r="D181" s="55" t="s">
        <v>21</v>
      </c>
      <c r="E181" s="55">
        <v>710.52</v>
      </c>
      <c r="F181" s="55">
        <v>8.0</v>
      </c>
      <c r="G181" s="55">
        <v>0.1</v>
      </c>
      <c r="H181" s="56">
        <v>45721.0</v>
      </c>
      <c r="I181" s="55">
        <v>255.79</v>
      </c>
      <c r="J181" s="55">
        <f t="shared" si="1"/>
        <v>5771.59</v>
      </c>
      <c r="K181" s="55" t="str">
        <f t="shared" si="2"/>
        <v>Mar-2025</v>
      </c>
      <c r="L181" s="57">
        <f t="shared" si="3"/>
        <v>46171.25354</v>
      </c>
    </row>
    <row r="182" ht="15.75" customHeight="1">
      <c r="A182" s="55" t="s">
        <v>123</v>
      </c>
      <c r="B182" s="55" t="s">
        <v>130</v>
      </c>
      <c r="C182" s="55" t="s">
        <v>29</v>
      </c>
      <c r="D182" s="55" t="s">
        <v>21</v>
      </c>
      <c r="E182" s="55">
        <v>499.18</v>
      </c>
      <c r="F182" s="55">
        <v>15.0</v>
      </c>
      <c r="G182" s="55">
        <v>0.2</v>
      </c>
      <c r="H182" s="56">
        <v>45724.0</v>
      </c>
      <c r="I182" s="55">
        <v>159.74</v>
      </c>
      <c r="J182" s="55">
        <f t="shared" si="1"/>
        <v>5443.34</v>
      </c>
      <c r="K182" s="55" t="str">
        <f t="shared" si="2"/>
        <v>Mar-2025</v>
      </c>
      <c r="L182" s="57">
        <f t="shared" si="3"/>
        <v>46171.25354</v>
      </c>
    </row>
    <row r="183" ht="15.75" customHeight="1">
      <c r="A183" s="55" t="s">
        <v>109</v>
      </c>
      <c r="B183" s="55" t="s">
        <v>110</v>
      </c>
      <c r="C183" s="55" t="s">
        <v>30</v>
      </c>
      <c r="D183" s="55" t="s">
        <v>21</v>
      </c>
      <c r="E183" s="55">
        <v>1064.19</v>
      </c>
      <c r="F183" s="55">
        <v>18.0</v>
      </c>
      <c r="G183" s="55">
        <v>0.05</v>
      </c>
      <c r="H183" s="56">
        <v>45725.0</v>
      </c>
      <c r="I183" s="55">
        <v>404.39</v>
      </c>
      <c r="J183" s="55">
        <f t="shared" si="1"/>
        <v>11398.32</v>
      </c>
      <c r="K183" s="55" t="str">
        <f t="shared" si="2"/>
        <v>Mar-2025</v>
      </c>
      <c r="L183" s="57">
        <f t="shared" si="3"/>
        <v>46171.25354</v>
      </c>
    </row>
    <row r="184" ht="15.75" customHeight="1">
      <c r="A184" s="55" t="s">
        <v>138</v>
      </c>
      <c r="B184" s="55" t="s">
        <v>110</v>
      </c>
      <c r="C184" s="55" t="s">
        <v>28</v>
      </c>
      <c r="D184" s="55" t="s">
        <v>25</v>
      </c>
      <c r="E184" s="55">
        <v>438.76</v>
      </c>
      <c r="F184" s="55">
        <v>18.0</v>
      </c>
      <c r="G184" s="55">
        <v>0.05</v>
      </c>
      <c r="H184" s="56">
        <v>45726.0</v>
      </c>
      <c r="I184" s="55">
        <v>187.57</v>
      </c>
      <c r="J184" s="55">
        <f t="shared" si="1"/>
        <v>11398.32</v>
      </c>
      <c r="K184" s="55" t="str">
        <f t="shared" si="2"/>
        <v>Mar-2025</v>
      </c>
      <c r="L184" s="57">
        <f t="shared" si="3"/>
        <v>46171.25354</v>
      </c>
    </row>
    <row r="185" ht="15.75" customHeight="1">
      <c r="A185" s="55" t="s">
        <v>112</v>
      </c>
      <c r="B185" s="55" t="s">
        <v>126</v>
      </c>
      <c r="C185" s="55" t="s">
        <v>31</v>
      </c>
      <c r="D185" s="55" t="s">
        <v>22</v>
      </c>
      <c r="E185" s="55">
        <v>864.98</v>
      </c>
      <c r="F185" s="55">
        <v>2.0</v>
      </c>
      <c r="G185" s="55">
        <v>0.05</v>
      </c>
      <c r="H185" s="56">
        <v>45727.0</v>
      </c>
      <c r="I185" s="55">
        <v>410.87</v>
      </c>
      <c r="J185" s="55">
        <f t="shared" si="1"/>
        <v>11915.83</v>
      </c>
      <c r="K185" s="55" t="str">
        <f t="shared" si="2"/>
        <v>Mar-2025</v>
      </c>
      <c r="L185" s="57">
        <f t="shared" si="3"/>
        <v>46171.25354</v>
      </c>
    </row>
    <row r="186" ht="15.75" customHeight="1">
      <c r="A186" s="55" t="s">
        <v>128</v>
      </c>
      <c r="B186" s="55" t="s">
        <v>126</v>
      </c>
      <c r="C186" s="55" t="s">
        <v>31</v>
      </c>
      <c r="D186" s="55" t="s">
        <v>24</v>
      </c>
      <c r="E186" s="55">
        <v>984.93</v>
      </c>
      <c r="F186" s="55">
        <v>14.0</v>
      </c>
      <c r="G186" s="55">
        <v>0.2</v>
      </c>
      <c r="H186" s="56">
        <v>45733.0</v>
      </c>
      <c r="I186" s="55">
        <v>275.78</v>
      </c>
      <c r="J186" s="55">
        <f t="shared" si="1"/>
        <v>11915.83</v>
      </c>
      <c r="K186" s="55" t="str">
        <f t="shared" si="2"/>
        <v>Mar-2025</v>
      </c>
      <c r="L186" s="57">
        <f t="shared" si="3"/>
        <v>46171.25354</v>
      </c>
    </row>
    <row r="187" ht="15.75" customHeight="1">
      <c r="A187" s="55" t="s">
        <v>99</v>
      </c>
      <c r="B187" s="55" t="s">
        <v>126</v>
      </c>
      <c r="C187" s="55" t="s">
        <v>31</v>
      </c>
      <c r="D187" s="55" t="s">
        <v>22</v>
      </c>
      <c r="E187" s="55">
        <v>1493.49</v>
      </c>
      <c r="F187" s="55">
        <v>18.0</v>
      </c>
      <c r="G187" s="55">
        <v>0.0</v>
      </c>
      <c r="H187" s="56">
        <v>45734.0</v>
      </c>
      <c r="I187" s="55">
        <v>746.74</v>
      </c>
      <c r="J187" s="55">
        <f t="shared" si="1"/>
        <v>11915.83</v>
      </c>
      <c r="K187" s="55" t="str">
        <f t="shared" si="2"/>
        <v>Mar-2025</v>
      </c>
      <c r="L187" s="57">
        <f t="shared" si="3"/>
        <v>46171.25354</v>
      </c>
    </row>
    <row r="188" ht="15.75" customHeight="1">
      <c r="A188" s="55" t="s">
        <v>105</v>
      </c>
      <c r="B188" s="55" t="s">
        <v>124</v>
      </c>
      <c r="C188" s="55" t="s">
        <v>30</v>
      </c>
      <c r="D188" s="55" t="s">
        <v>22</v>
      </c>
      <c r="E188" s="55">
        <v>689.43</v>
      </c>
      <c r="F188" s="55">
        <v>9.0</v>
      </c>
      <c r="G188" s="55">
        <v>0.1</v>
      </c>
      <c r="H188" s="56">
        <v>45736.0</v>
      </c>
      <c r="I188" s="55">
        <v>310.24</v>
      </c>
      <c r="J188" s="55">
        <f t="shared" si="1"/>
        <v>7522.77</v>
      </c>
      <c r="K188" s="55" t="str">
        <f t="shared" si="2"/>
        <v>Mar-2025</v>
      </c>
      <c r="L188" s="57">
        <f t="shared" si="3"/>
        <v>46171.25354</v>
      </c>
    </row>
    <row r="189" ht="15.75" customHeight="1">
      <c r="A189" s="55" t="s">
        <v>111</v>
      </c>
      <c r="B189" s="55" t="s">
        <v>130</v>
      </c>
      <c r="C189" s="55" t="s">
        <v>30</v>
      </c>
      <c r="D189" s="55" t="s">
        <v>22</v>
      </c>
      <c r="E189" s="55">
        <v>682.24</v>
      </c>
      <c r="F189" s="55">
        <v>1.0</v>
      </c>
      <c r="G189" s="55">
        <v>0.0</v>
      </c>
      <c r="H189" s="56">
        <v>45738.0</v>
      </c>
      <c r="I189" s="55">
        <v>341.12</v>
      </c>
      <c r="J189" s="55">
        <f t="shared" si="1"/>
        <v>5443.34</v>
      </c>
      <c r="K189" s="55" t="str">
        <f t="shared" si="2"/>
        <v>Mar-2025</v>
      </c>
      <c r="L189" s="57">
        <f t="shared" si="3"/>
        <v>46171.25354</v>
      </c>
    </row>
    <row r="190" ht="15.75" customHeight="1">
      <c r="A190" s="55" t="s">
        <v>112</v>
      </c>
      <c r="B190" s="55" t="s">
        <v>100</v>
      </c>
      <c r="C190" s="55" t="s">
        <v>29</v>
      </c>
      <c r="D190" s="55" t="s">
        <v>23</v>
      </c>
      <c r="E190" s="55">
        <v>458.54</v>
      </c>
      <c r="F190" s="55">
        <v>15.0</v>
      </c>
      <c r="G190" s="55">
        <v>0.2</v>
      </c>
      <c r="H190" s="56">
        <v>45741.0</v>
      </c>
      <c r="I190" s="55">
        <v>91.71</v>
      </c>
      <c r="J190" s="55">
        <f t="shared" si="1"/>
        <v>7881.9</v>
      </c>
      <c r="K190" s="55" t="str">
        <f t="shared" si="2"/>
        <v>Mar-2025</v>
      </c>
      <c r="L190" s="57">
        <f t="shared" si="3"/>
        <v>46171.25354</v>
      </c>
    </row>
    <row r="191" ht="15.75" customHeight="1">
      <c r="A191" s="55" t="s">
        <v>105</v>
      </c>
      <c r="B191" s="55" t="s">
        <v>100</v>
      </c>
      <c r="C191" s="55" t="s">
        <v>30</v>
      </c>
      <c r="D191" s="55" t="s">
        <v>24</v>
      </c>
      <c r="E191" s="55">
        <v>1184.25</v>
      </c>
      <c r="F191" s="55">
        <v>11.0</v>
      </c>
      <c r="G191" s="55">
        <v>0.2</v>
      </c>
      <c r="H191" s="56">
        <v>45742.0</v>
      </c>
      <c r="I191" s="55">
        <v>331.59</v>
      </c>
      <c r="J191" s="55">
        <f t="shared" si="1"/>
        <v>7881.9</v>
      </c>
      <c r="K191" s="55" t="str">
        <f t="shared" si="2"/>
        <v>Mar-2025</v>
      </c>
      <c r="L191" s="57">
        <f t="shared" si="3"/>
        <v>46171.25354</v>
      </c>
    </row>
    <row r="192" ht="15.75" customHeight="1">
      <c r="A192" s="55" t="s">
        <v>99</v>
      </c>
      <c r="B192" s="55" t="s">
        <v>92</v>
      </c>
      <c r="C192" s="55" t="s">
        <v>30</v>
      </c>
      <c r="D192" s="55" t="s">
        <v>22</v>
      </c>
      <c r="E192" s="55">
        <v>762.14</v>
      </c>
      <c r="F192" s="55">
        <v>9.0</v>
      </c>
      <c r="G192" s="55">
        <v>0.0</v>
      </c>
      <c r="H192" s="56">
        <v>45743.0</v>
      </c>
      <c r="I192" s="55">
        <v>381.07</v>
      </c>
      <c r="J192" s="55">
        <f t="shared" si="1"/>
        <v>6255.7</v>
      </c>
      <c r="K192" s="55" t="str">
        <f t="shared" si="2"/>
        <v>Mar-2025</v>
      </c>
      <c r="L192" s="57">
        <f t="shared" si="3"/>
        <v>46171.25354</v>
      </c>
    </row>
    <row r="193" ht="15.75" customHeight="1">
      <c r="A193" s="55" t="s">
        <v>97</v>
      </c>
      <c r="B193" s="55" t="s">
        <v>124</v>
      </c>
      <c r="C193" s="55" t="s">
        <v>29</v>
      </c>
      <c r="D193" s="55" t="s">
        <v>21</v>
      </c>
      <c r="E193" s="55">
        <v>750.71</v>
      </c>
      <c r="F193" s="55">
        <v>10.0</v>
      </c>
      <c r="G193" s="55">
        <v>0.15</v>
      </c>
      <c r="H193" s="56">
        <v>45743.0</v>
      </c>
      <c r="I193" s="55">
        <v>255.24</v>
      </c>
      <c r="J193" s="55">
        <f t="shared" si="1"/>
        <v>7522.77</v>
      </c>
      <c r="K193" s="55" t="str">
        <f t="shared" si="2"/>
        <v>Mar-2025</v>
      </c>
      <c r="L193" s="57">
        <f t="shared" si="3"/>
        <v>46171.25354</v>
      </c>
    </row>
    <row r="194" ht="15.75" customHeight="1">
      <c r="A194" s="55" t="s">
        <v>146</v>
      </c>
      <c r="B194" s="55" t="s">
        <v>142</v>
      </c>
      <c r="C194" s="55" t="s">
        <v>27</v>
      </c>
      <c r="D194" s="55" t="s">
        <v>22</v>
      </c>
      <c r="E194" s="55">
        <v>1456.94</v>
      </c>
      <c r="F194" s="55">
        <v>14.0</v>
      </c>
      <c r="G194" s="55">
        <v>0.05</v>
      </c>
      <c r="H194" s="56">
        <v>45745.0</v>
      </c>
      <c r="I194" s="55">
        <v>692.05</v>
      </c>
      <c r="J194" s="55">
        <f t="shared" si="1"/>
        <v>5465.71</v>
      </c>
      <c r="K194" s="55" t="str">
        <f t="shared" si="2"/>
        <v>Mar-2025</v>
      </c>
      <c r="L194" s="57">
        <f t="shared" si="3"/>
        <v>46171.25354</v>
      </c>
    </row>
    <row r="195" ht="15.75" customHeight="1">
      <c r="A195" s="55" t="s">
        <v>115</v>
      </c>
      <c r="B195" s="55" t="s">
        <v>132</v>
      </c>
      <c r="C195" s="55" t="s">
        <v>28</v>
      </c>
      <c r="D195" s="55" t="s">
        <v>24</v>
      </c>
      <c r="E195" s="55">
        <v>1093.38</v>
      </c>
      <c r="F195" s="55">
        <v>17.0</v>
      </c>
      <c r="G195" s="55">
        <v>0.1</v>
      </c>
      <c r="H195" s="56">
        <v>45745.0</v>
      </c>
      <c r="I195" s="55">
        <v>344.41</v>
      </c>
      <c r="J195" s="55">
        <f t="shared" si="1"/>
        <v>8543.97</v>
      </c>
      <c r="K195" s="55" t="str">
        <f t="shared" si="2"/>
        <v>Mar-2025</v>
      </c>
      <c r="L195" s="57">
        <f t="shared" si="3"/>
        <v>46171.25354</v>
      </c>
    </row>
    <row r="196" ht="15.75" customHeight="1">
      <c r="A196" s="55" t="s">
        <v>109</v>
      </c>
      <c r="B196" s="55" t="s">
        <v>114</v>
      </c>
      <c r="C196" s="55" t="s">
        <v>31</v>
      </c>
      <c r="D196" s="55" t="s">
        <v>22</v>
      </c>
      <c r="E196" s="55">
        <v>934.27</v>
      </c>
      <c r="F196" s="55">
        <v>8.0</v>
      </c>
      <c r="G196" s="55">
        <v>0.15</v>
      </c>
      <c r="H196" s="56">
        <v>45746.0</v>
      </c>
      <c r="I196" s="55">
        <v>397.06</v>
      </c>
      <c r="J196" s="55">
        <f t="shared" si="1"/>
        <v>7296.19</v>
      </c>
      <c r="K196" s="55" t="str">
        <f t="shared" si="2"/>
        <v>Mar-2025</v>
      </c>
      <c r="L196" s="57">
        <f t="shared" si="3"/>
        <v>46171.25354</v>
      </c>
    </row>
    <row r="197" ht="15.75" customHeight="1">
      <c r="A197" s="55" t="s">
        <v>141</v>
      </c>
      <c r="B197" s="55" t="s">
        <v>108</v>
      </c>
      <c r="C197" s="55" t="s">
        <v>27</v>
      </c>
      <c r="D197" s="55" t="s">
        <v>22</v>
      </c>
      <c r="E197" s="55">
        <v>1465.35</v>
      </c>
      <c r="F197" s="55">
        <v>8.0</v>
      </c>
      <c r="G197" s="55">
        <v>0.2</v>
      </c>
      <c r="H197" s="56">
        <v>45746.0</v>
      </c>
      <c r="I197" s="55">
        <v>586.14</v>
      </c>
      <c r="J197" s="55">
        <f t="shared" si="1"/>
        <v>7020.38</v>
      </c>
      <c r="K197" s="55" t="str">
        <f t="shared" si="2"/>
        <v>Mar-2025</v>
      </c>
      <c r="L197" s="57">
        <f t="shared" si="3"/>
        <v>46171.25354</v>
      </c>
    </row>
    <row r="198" ht="15.75" customHeight="1">
      <c r="A198" s="55" t="s">
        <v>123</v>
      </c>
      <c r="B198" s="55" t="s">
        <v>8</v>
      </c>
      <c r="C198" s="55" t="s">
        <v>30</v>
      </c>
      <c r="D198" s="55" t="s">
        <v>25</v>
      </c>
      <c r="E198" s="55">
        <v>740.8</v>
      </c>
      <c r="F198" s="55">
        <v>3.0</v>
      </c>
      <c r="G198" s="55">
        <v>0.0</v>
      </c>
      <c r="H198" s="56">
        <v>45749.0</v>
      </c>
      <c r="I198" s="55">
        <v>333.36</v>
      </c>
      <c r="J198" s="55">
        <f t="shared" si="1"/>
        <v>8331.85</v>
      </c>
      <c r="K198" s="55" t="str">
        <f t="shared" si="2"/>
        <v>Apr-2025</v>
      </c>
      <c r="L198" s="57">
        <f t="shared" si="3"/>
        <v>46171.25354</v>
      </c>
    </row>
    <row r="199" ht="15.75" customHeight="1">
      <c r="A199" s="55" t="s">
        <v>129</v>
      </c>
      <c r="B199" s="55" t="s">
        <v>114</v>
      </c>
      <c r="C199" s="55" t="s">
        <v>31</v>
      </c>
      <c r="D199" s="55" t="s">
        <v>25</v>
      </c>
      <c r="E199" s="55">
        <v>545.44</v>
      </c>
      <c r="F199" s="55">
        <v>17.0</v>
      </c>
      <c r="G199" s="55">
        <v>0.0</v>
      </c>
      <c r="H199" s="56">
        <v>45752.0</v>
      </c>
      <c r="I199" s="55">
        <v>245.45</v>
      </c>
      <c r="J199" s="55">
        <f t="shared" si="1"/>
        <v>7296.19</v>
      </c>
      <c r="K199" s="55" t="str">
        <f t="shared" si="2"/>
        <v>Apr-2025</v>
      </c>
      <c r="L199" s="57">
        <f t="shared" si="3"/>
        <v>46171.25354</v>
      </c>
    </row>
    <row r="200" ht="15.75" customHeight="1">
      <c r="A200" s="55" t="s">
        <v>107</v>
      </c>
      <c r="B200" s="55" t="s">
        <v>108</v>
      </c>
      <c r="C200" s="55" t="s">
        <v>28</v>
      </c>
      <c r="D200" s="55" t="s">
        <v>21</v>
      </c>
      <c r="E200" s="55">
        <v>997.61</v>
      </c>
      <c r="F200" s="55">
        <v>8.0</v>
      </c>
      <c r="G200" s="55">
        <v>0.05</v>
      </c>
      <c r="H200" s="56">
        <v>45752.0</v>
      </c>
      <c r="I200" s="55">
        <v>379.09</v>
      </c>
      <c r="J200" s="55">
        <f t="shared" si="1"/>
        <v>7020.38</v>
      </c>
      <c r="K200" s="55" t="str">
        <f t="shared" si="2"/>
        <v>Apr-2025</v>
      </c>
      <c r="L200" s="57">
        <f t="shared" si="3"/>
        <v>46171.25354</v>
      </c>
    </row>
    <row r="201" ht="15.75" customHeight="1">
      <c r="A201" s="55" t="s">
        <v>131</v>
      </c>
      <c r="B201" s="55" t="s">
        <v>108</v>
      </c>
      <c r="C201" s="55" t="s">
        <v>30</v>
      </c>
      <c r="D201" s="55" t="s">
        <v>22</v>
      </c>
      <c r="E201" s="55">
        <v>928.32</v>
      </c>
      <c r="F201" s="55">
        <v>2.0</v>
      </c>
      <c r="G201" s="55">
        <v>0.05</v>
      </c>
      <c r="H201" s="56">
        <v>45754.0</v>
      </c>
      <c r="I201" s="55">
        <v>440.95</v>
      </c>
      <c r="J201" s="55">
        <f t="shared" si="1"/>
        <v>7020.38</v>
      </c>
      <c r="K201" s="55" t="str">
        <f t="shared" si="2"/>
        <v>Apr-2025</v>
      </c>
      <c r="L201" s="57">
        <f t="shared" si="3"/>
        <v>46171.25354</v>
      </c>
    </row>
    <row r="202" ht="15.75" customHeight="1">
      <c r="L202" s="58"/>
    </row>
    <row r="203" ht="15.75" customHeight="1">
      <c r="L203" s="58"/>
    </row>
    <row r="204" ht="15.75" customHeight="1">
      <c r="L204" s="58"/>
    </row>
    <row r="205" ht="15.75" customHeight="1">
      <c r="L205" s="58"/>
    </row>
    <row r="206" ht="15.75" customHeight="1">
      <c r="L206" s="58"/>
    </row>
    <row r="207" ht="15.75" customHeight="1">
      <c r="L207" s="58"/>
    </row>
    <row r="208" ht="15.75" customHeight="1">
      <c r="L208" s="58"/>
    </row>
    <row r="209" ht="15.75" customHeight="1">
      <c r="L209" s="58"/>
    </row>
    <row r="210" ht="15.75" customHeight="1">
      <c r="L210" s="58"/>
    </row>
    <row r="211" ht="15.75" customHeight="1">
      <c r="L211" s="58"/>
    </row>
    <row r="212" ht="15.75" customHeight="1">
      <c r="L212" s="58"/>
    </row>
    <row r="213" ht="15.75" customHeight="1">
      <c r="L213" s="58"/>
    </row>
    <row r="214" ht="15.75" customHeight="1">
      <c r="L214" s="58"/>
    </row>
    <row r="215" ht="15.75" customHeight="1">
      <c r="L215" s="58"/>
    </row>
    <row r="216" ht="15.75" customHeight="1">
      <c r="L216" s="58"/>
    </row>
    <row r="217" ht="15.75" customHeight="1">
      <c r="L217" s="58"/>
    </row>
    <row r="218" ht="15.75" customHeight="1">
      <c r="L218" s="58"/>
    </row>
    <row r="219" ht="15.75" customHeight="1">
      <c r="L219" s="58"/>
    </row>
    <row r="220" ht="15.75" customHeight="1">
      <c r="L220" s="58"/>
    </row>
    <row r="221" ht="15.75" customHeight="1">
      <c r="L221" s="58"/>
    </row>
    <row r="222" ht="15.75" customHeight="1">
      <c r="L222" s="58"/>
    </row>
    <row r="223" ht="15.75" customHeight="1">
      <c r="L223" s="58"/>
    </row>
    <row r="224" ht="15.75" customHeight="1">
      <c r="L224" s="58"/>
    </row>
    <row r="225" ht="15.75" customHeight="1">
      <c r="L225" s="58"/>
    </row>
    <row r="226" ht="15.75" customHeight="1">
      <c r="L226" s="58"/>
    </row>
    <row r="227" ht="15.75" customHeight="1">
      <c r="L227" s="58"/>
    </row>
    <row r="228" ht="15.75" customHeight="1">
      <c r="L228" s="58"/>
    </row>
    <row r="229" ht="15.75" customHeight="1">
      <c r="L229" s="58"/>
    </row>
    <row r="230" ht="15.75" customHeight="1">
      <c r="L230" s="58"/>
    </row>
    <row r="231" ht="15.75" customHeight="1">
      <c r="L231" s="58"/>
    </row>
    <row r="232" ht="15.75" customHeight="1">
      <c r="L232" s="58"/>
    </row>
    <row r="233" ht="15.75" customHeight="1">
      <c r="L233" s="58"/>
    </row>
    <row r="234" ht="15.75" customHeight="1">
      <c r="L234" s="58"/>
    </row>
    <row r="235" ht="15.75" customHeight="1">
      <c r="L235" s="58"/>
    </row>
    <row r="236" ht="15.75" customHeight="1">
      <c r="L236" s="58"/>
    </row>
    <row r="237" ht="15.75" customHeight="1">
      <c r="L237" s="58"/>
    </row>
    <row r="238" ht="15.75" customHeight="1">
      <c r="L238" s="58"/>
    </row>
    <row r="239" ht="15.75" customHeight="1">
      <c r="L239" s="58"/>
    </row>
    <row r="240" ht="15.75" customHeight="1">
      <c r="L240" s="58"/>
    </row>
    <row r="241" ht="15.75" customHeight="1">
      <c r="L241" s="58"/>
    </row>
    <row r="242" ht="15.75" customHeight="1">
      <c r="L242" s="58"/>
    </row>
    <row r="243" ht="15.75" customHeight="1">
      <c r="L243" s="58"/>
    </row>
    <row r="244" ht="15.75" customHeight="1">
      <c r="L244" s="58"/>
    </row>
    <row r="245" ht="15.75" customHeight="1">
      <c r="L245" s="58"/>
    </row>
    <row r="246" ht="15.75" customHeight="1">
      <c r="L246" s="58"/>
    </row>
    <row r="247" ht="15.75" customHeight="1">
      <c r="L247" s="58"/>
    </row>
    <row r="248" ht="15.75" customHeight="1">
      <c r="L248" s="58"/>
    </row>
    <row r="249" ht="15.75" customHeight="1">
      <c r="L249" s="58"/>
    </row>
    <row r="250" ht="15.75" customHeight="1">
      <c r="L250" s="58"/>
    </row>
    <row r="251" ht="15.75" customHeight="1">
      <c r="L251" s="58"/>
    </row>
    <row r="252" ht="15.75" customHeight="1">
      <c r="L252" s="58"/>
    </row>
    <row r="253" ht="15.75" customHeight="1">
      <c r="L253" s="58"/>
    </row>
    <row r="254" ht="15.75" customHeight="1">
      <c r="L254" s="58"/>
    </row>
    <row r="255" ht="15.75" customHeight="1">
      <c r="L255" s="58"/>
    </row>
    <row r="256" ht="15.75" customHeight="1">
      <c r="L256" s="58"/>
    </row>
    <row r="257" ht="15.75" customHeight="1">
      <c r="L257" s="58"/>
    </row>
    <row r="258" ht="15.75" customHeight="1">
      <c r="L258" s="58"/>
    </row>
    <row r="259" ht="15.75" customHeight="1">
      <c r="L259" s="58"/>
    </row>
    <row r="260" ht="15.75" customHeight="1">
      <c r="L260" s="58"/>
    </row>
    <row r="261" ht="15.75" customHeight="1">
      <c r="L261" s="58"/>
    </row>
    <row r="262" ht="15.75" customHeight="1">
      <c r="L262" s="58"/>
    </row>
    <row r="263" ht="15.75" customHeight="1">
      <c r="L263" s="58"/>
    </row>
    <row r="264" ht="15.75" customHeight="1">
      <c r="L264" s="58"/>
    </row>
    <row r="265" ht="15.75" customHeight="1">
      <c r="L265" s="58"/>
    </row>
    <row r="266" ht="15.75" customHeight="1">
      <c r="L266" s="58"/>
    </row>
    <row r="267" ht="15.75" customHeight="1">
      <c r="L267" s="58"/>
    </row>
    <row r="268" ht="15.75" customHeight="1">
      <c r="L268" s="58"/>
    </row>
    <row r="269" ht="15.75" customHeight="1">
      <c r="L269" s="58"/>
    </row>
    <row r="270" ht="15.75" customHeight="1">
      <c r="L270" s="58"/>
    </row>
    <row r="271" ht="15.75" customHeight="1">
      <c r="L271" s="58"/>
    </row>
    <row r="272" ht="15.75" customHeight="1">
      <c r="L272" s="58"/>
    </row>
    <row r="273" ht="15.75" customHeight="1">
      <c r="L273" s="58"/>
    </row>
    <row r="274" ht="15.75" customHeight="1">
      <c r="L274" s="58"/>
    </row>
    <row r="275" ht="15.75" customHeight="1">
      <c r="L275" s="58"/>
    </row>
    <row r="276" ht="15.75" customHeight="1">
      <c r="L276" s="58"/>
    </row>
    <row r="277" ht="15.75" customHeight="1">
      <c r="L277" s="58"/>
    </row>
    <row r="278" ht="15.75" customHeight="1">
      <c r="L278" s="58"/>
    </row>
    <row r="279" ht="15.75" customHeight="1">
      <c r="L279" s="58"/>
    </row>
    <row r="280" ht="15.75" customHeight="1">
      <c r="L280" s="58"/>
    </row>
    <row r="281" ht="15.75" customHeight="1">
      <c r="L281" s="58"/>
    </row>
    <row r="282" ht="15.75" customHeight="1">
      <c r="L282" s="58"/>
    </row>
    <row r="283" ht="15.75" customHeight="1">
      <c r="L283" s="58"/>
    </row>
    <row r="284" ht="15.75" customHeight="1">
      <c r="L284" s="58"/>
    </row>
    <row r="285" ht="15.75" customHeight="1">
      <c r="L285" s="58"/>
    </row>
    <row r="286" ht="15.75" customHeight="1">
      <c r="L286" s="58"/>
    </row>
    <row r="287" ht="15.75" customHeight="1">
      <c r="L287" s="58"/>
    </row>
    <row r="288" ht="15.75" customHeight="1">
      <c r="L288" s="58"/>
    </row>
    <row r="289" ht="15.75" customHeight="1">
      <c r="L289" s="58"/>
    </row>
    <row r="290" ht="15.75" customHeight="1">
      <c r="L290" s="58"/>
    </row>
    <row r="291" ht="15.75" customHeight="1">
      <c r="L291" s="58"/>
    </row>
    <row r="292" ht="15.75" customHeight="1">
      <c r="L292" s="58"/>
    </row>
    <row r="293" ht="15.75" customHeight="1">
      <c r="L293" s="58"/>
    </row>
    <row r="294" ht="15.75" customHeight="1">
      <c r="L294" s="58"/>
    </row>
    <row r="295" ht="15.75" customHeight="1">
      <c r="L295" s="58"/>
    </row>
    <row r="296" ht="15.75" customHeight="1">
      <c r="L296" s="58"/>
    </row>
    <row r="297" ht="15.75" customHeight="1">
      <c r="L297" s="58"/>
    </row>
    <row r="298" ht="15.75" customHeight="1">
      <c r="L298" s="58"/>
    </row>
    <row r="299" ht="15.75" customHeight="1">
      <c r="L299" s="58"/>
    </row>
    <row r="300" ht="15.75" customHeight="1">
      <c r="L300" s="58"/>
    </row>
    <row r="301" ht="15.75" customHeight="1">
      <c r="L301" s="58"/>
    </row>
    <row r="302" ht="15.75" customHeight="1">
      <c r="L302" s="58"/>
    </row>
    <row r="303" ht="15.75" customHeight="1">
      <c r="L303" s="58"/>
    </row>
    <row r="304" ht="15.75" customHeight="1">
      <c r="L304" s="58"/>
    </row>
    <row r="305" ht="15.75" customHeight="1">
      <c r="L305" s="58"/>
    </row>
    <row r="306" ht="15.75" customHeight="1">
      <c r="L306" s="58"/>
    </row>
    <row r="307" ht="15.75" customHeight="1">
      <c r="L307" s="58"/>
    </row>
    <row r="308" ht="15.75" customHeight="1">
      <c r="L308" s="58"/>
    </row>
    <row r="309" ht="15.75" customHeight="1">
      <c r="L309" s="58"/>
    </row>
    <row r="310" ht="15.75" customHeight="1">
      <c r="L310" s="58"/>
    </row>
    <row r="311" ht="15.75" customHeight="1">
      <c r="L311" s="58"/>
    </row>
    <row r="312" ht="15.75" customHeight="1">
      <c r="L312" s="58"/>
    </row>
    <row r="313" ht="15.75" customHeight="1">
      <c r="L313" s="58"/>
    </row>
    <row r="314" ht="15.75" customHeight="1">
      <c r="L314" s="58"/>
    </row>
    <row r="315" ht="15.75" customHeight="1">
      <c r="L315" s="58"/>
    </row>
    <row r="316" ht="15.75" customHeight="1">
      <c r="L316" s="58"/>
    </row>
    <row r="317" ht="15.75" customHeight="1">
      <c r="L317" s="58"/>
    </row>
    <row r="318" ht="15.75" customHeight="1">
      <c r="L318" s="58"/>
    </row>
    <row r="319" ht="15.75" customHeight="1">
      <c r="L319" s="58"/>
    </row>
    <row r="320" ht="15.75" customHeight="1">
      <c r="L320" s="58"/>
    </row>
    <row r="321" ht="15.75" customHeight="1">
      <c r="L321" s="58"/>
    </row>
    <row r="322" ht="15.75" customHeight="1">
      <c r="L322" s="58"/>
    </row>
    <row r="323" ht="15.75" customHeight="1">
      <c r="L323" s="58"/>
    </row>
    <row r="324" ht="15.75" customHeight="1">
      <c r="L324" s="58"/>
    </row>
    <row r="325" ht="15.75" customHeight="1">
      <c r="L325" s="58"/>
    </row>
    <row r="326" ht="15.75" customHeight="1">
      <c r="L326" s="58"/>
    </row>
    <row r="327" ht="15.75" customHeight="1">
      <c r="L327" s="58"/>
    </row>
    <row r="328" ht="15.75" customHeight="1">
      <c r="L328" s="58"/>
    </row>
    <row r="329" ht="15.75" customHeight="1">
      <c r="L329" s="58"/>
    </row>
    <row r="330" ht="15.75" customHeight="1">
      <c r="L330" s="58"/>
    </row>
    <row r="331" ht="15.75" customHeight="1">
      <c r="L331" s="58"/>
    </row>
    <row r="332" ht="15.75" customHeight="1">
      <c r="L332" s="58"/>
    </row>
    <row r="333" ht="15.75" customHeight="1">
      <c r="L333" s="58"/>
    </row>
    <row r="334" ht="15.75" customHeight="1">
      <c r="L334" s="58"/>
    </row>
    <row r="335" ht="15.75" customHeight="1">
      <c r="L335" s="58"/>
    </row>
    <row r="336" ht="15.75" customHeight="1">
      <c r="L336" s="58"/>
    </row>
    <row r="337" ht="15.75" customHeight="1">
      <c r="L337" s="58"/>
    </row>
    <row r="338" ht="15.75" customHeight="1">
      <c r="L338" s="58"/>
    </row>
    <row r="339" ht="15.75" customHeight="1">
      <c r="L339" s="58"/>
    </row>
    <row r="340" ht="15.75" customHeight="1">
      <c r="L340" s="58"/>
    </row>
    <row r="341" ht="15.75" customHeight="1">
      <c r="L341" s="58"/>
    </row>
    <row r="342" ht="15.75" customHeight="1">
      <c r="L342" s="58"/>
    </row>
    <row r="343" ht="15.75" customHeight="1">
      <c r="L343" s="58"/>
    </row>
    <row r="344" ht="15.75" customHeight="1">
      <c r="L344" s="58"/>
    </row>
    <row r="345" ht="15.75" customHeight="1">
      <c r="L345" s="58"/>
    </row>
    <row r="346" ht="15.75" customHeight="1">
      <c r="L346" s="58"/>
    </row>
    <row r="347" ht="15.75" customHeight="1">
      <c r="L347" s="58"/>
    </row>
    <row r="348" ht="15.75" customHeight="1">
      <c r="L348" s="58"/>
    </row>
    <row r="349" ht="15.75" customHeight="1">
      <c r="L349" s="58"/>
    </row>
    <row r="350" ht="15.75" customHeight="1">
      <c r="L350" s="58"/>
    </row>
    <row r="351" ht="15.75" customHeight="1">
      <c r="L351" s="58"/>
    </row>
    <row r="352" ht="15.75" customHeight="1">
      <c r="L352" s="58"/>
    </row>
    <row r="353" ht="15.75" customHeight="1">
      <c r="L353" s="58"/>
    </row>
    <row r="354" ht="15.75" customHeight="1">
      <c r="L354" s="58"/>
    </row>
    <row r="355" ht="15.75" customHeight="1">
      <c r="L355" s="58"/>
    </row>
    <row r="356" ht="15.75" customHeight="1">
      <c r="L356" s="58"/>
    </row>
    <row r="357" ht="15.75" customHeight="1">
      <c r="L357" s="58"/>
    </row>
    <row r="358" ht="15.75" customHeight="1">
      <c r="L358" s="58"/>
    </row>
    <row r="359" ht="15.75" customHeight="1">
      <c r="L359" s="58"/>
    </row>
    <row r="360" ht="15.75" customHeight="1">
      <c r="L360" s="58"/>
    </row>
    <row r="361" ht="15.75" customHeight="1">
      <c r="L361" s="58"/>
    </row>
    <row r="362" ht="15.75" customHeight="1">
      <c r="L362" s="58"/>
    </row>
    <row r="363" ht="15.75" customHeight="1">
      <c r="L363" s="58"/>
    </row>
    <row r="364" ht="15.75" customHeight="1">
      <c r="L364" s="58"/>
    </row>
    <row r="365" ht="15.75" customHeight="1">
      <c r="L365" s="58"/>
    </row>
    <row r="366" ht="15.75" customHeight="1">
      <c r="L366" s="58"/>
    </row>
    <row r="367" ht="15.75" customHeight="1">
      <c r="L367" s="58"/>
    </row>
    <row r="368" ht="15.75" customHeight="1">
      <c r="L368" s="58"/>
    </row>
    <row r="369" ht="15.75" customHeight="1">
      <c r="L369" s="58"/>
    </row>
    <row r="370" ht="15.75" customHeight="1">
      <c r="L370" s="58"/>
    </row>
    <row r="371" ht="15.75" customHeight="1">
      <c r="L371" s="58"/>
    </row>
    <row r="372" ht="15.75" customHeight="1">
      <c r="L372" s="58"/>
    </row>
    <row r="373" ht="15.75" customHeight="1">
      <c r="L373" s="58"/>
    </row>
    <row r="374" ht="15.75" customHeight="1">
      <c r="L374" s="58"/>
    </row>
    <row r="375" ht="15.75" customHeight="1">
      <c r="L375" s="58"/>
    </row>
    <row r="376" ht="15.75" customHeight="1">
      <c r="L376" s="58"/>
    </row>
    <row r="377" ht="15.75" customHeight="1">
      <c r="L377" s="58"/>
    </row>
    <row r="378" ht="15.75" customHeight="1">
      <c r="L378" s="58"/>
    </row>
    <row r="379" ht="15.75" customHeight="1">
      <c r="L379" s="58"/>
    </row>
    <row r="380" ht="15.75" customHeight="1">
      <c r="L380" s="58"/>
    </row>
    <row r="381" ht="15.75" customHeight="1">
      <c r="L381" s="58"/>
    </row>
    <row r="382" ht="15.75" customHeight="1">
      <c r="L382" s="58"/>
    </row>
    <row r="383" ht="15.75" customHeight="1">
      <c r="L383" s="58"/>
    </row>
    <row r="384" ht="15.75" customHeight="1">
      <c r="L384" s="58"/>
    </row>
    <row r="385" ht="15.75" customHeight="1">
      <c r="L385" s="58"/>
    </row>
    <row r="386" ht="15.75" customHeight="1">
      <c r="L386" s="58"/>
    </row>
    <row r="387" ht="15.75" customHeight="1">
      <c r="L387" s="58"/>
    </row>
    <row r="388" ht="15.75" customHeight="1">
      <c r="L388" s="58"/>
    </row>
    <row r="389" ht="15.75" customHeight="1">
      <c r="L389" s="58"/>
    </row>
    <row r="390" ht="15.75" customHeight="1">
      <c r="L390" s="58"/>
    </row>
    <row r="391" ht="15.75" customHeight="1">
      <c r="L391" s="58"/>
    </row>
    <row r="392" ht="15.75" customHeight="1">
      <c r="L392" s="58"/>
    </row>
    <row r="393" ht="15.75" customHeight="1">
      <c r="L393" s="58"/>
    </row>
    <row r="394" ht="15.75" customHeight="1">
      <c r="L394" s="58"/>
    </row>
    <row r="395" ht="15.75" customHeight="1">
      <c r="L395" s="58"/>
    </row>
    <row r="396" ht="15.75" customHeight="1">
      <c r="L396" s="58"/>
    </row>
    <row r="397" ht="15.75" customHeight="1">
      <c r="L397" s="58"/>
    </row>
    <row r="398" ht="15.75" customHeight="1">
      <c r="L398" s="58"/>
    </row>
    <row r="399" ht="15.75" customHeight="1">
      <c r="L399" s="58"/>
    </row>
    <row r="400" ht="15.75" customHeight="1">
      <c r="L400" s="58"/>
    </row>
    <row r="401" ht="15.75" customHeight="1">
      <c r="L401" s="58"/>
    </row>
    <row r="402" ht="15.75" customHeight="1">
      <c r="L402" s="58"/>
    </row>
    <row r="403" ht="15.75" customHeight="1">
      <c r="L403" s="58"/>
    </row>
    <row r="404" ht="15.75" customHeight="1">
      <c r="L404" s="58"/>
    </row>
    <row r="405" ht="15.75" customHeight="1">
      <c r="L405" s="58"/>
    </row>
    <row r="406" ht="15.75" customHeight="1">
      <c r="L406" s="58"/>
    </row>
    <row r="407" ht="15.75" customHeight="1">
      <c r="L407" s="58"/>
    </row>
    <row r="408" ht="15.75" customHeight="1">
      <c r="L408" s="58"/>
    </row>
    <row r="409" ht="15.75" customHeight="1">
      <c r="L409" s="58"/>
    </row>
    <row r="410" ht="15.75" customHeight="1">
      <c r="L410" s="58"/>
    </row>
    <row r="411" ht="15.75" customHeight="1">
      <c r="L411" s="58"/>
    </row>
    <row r="412" ht="15.75" customHeight="1">
      <c r="L412" s="58"/>
    </row>
    <row r="413" ht="15.75" customHeight="1">
      <c r="L413" s="58"/>
    </row>
    <row r="414" ht="15.75" customHeight="1">
      <c r="L414" s="58"/>
    </row>
    <row r="415" ht="15.75" customHeight="1">
      <c r="L415" s="58"/>
    </row>
    <row r="416" ht="15.75" customHeight="1">
      <c r="L416" s="58"/>
    </row>
    <row r="417" ht="15.75" customHeight="1">
      <c r="L417" s="58"/>
    </row>
    <row r="418" ht="15.75" customHeight="1">
      <c r="L418" s="58"/>
    </row>
    <row r="419" ht="15.75" customHeight="1">
      <c r="L419" s="58"/>
    </row>
    <row r="420" ht="15.75" customHeight="1">
      <c r="L420" s="58"/>
    </row>
    <row r="421" ht="15.75" customHeight="1">
      <c r="L421" s="58"/>
    </row>
    <row r="422" ht="15.75" customHeight="1">
      <c r="L422" s="58"/>
    </row>
    <row r="423" ht="15.75" customHeight="1">
      <c r="L423" s="58"/>
    </row>
    <row r="424" ht="15.75" customHeight="1">
      <c r="L424" s="58"/>
    </row>
    <row r="425" ht="15.75" customHeight="1">
      <c r="L425" s="58"/>
    </row>
    <row r="426" ht="15.75" customHeight="1">
      <c r="L426" s="58"/>
    </row>
    <row r="427" ht="15.75" customHeight="1">
      <c r="L427" s="58"/>
    </row>
    <row r="428" ht="15.75" customHeight="1">
      <c r="L428" s="58"/>
    </row>
    <row r="429" ht="15.75" customHeight="1">
      <c r="L429" s="58"/>
    </row>
    <row r="430" ht="15.75" customHeight="1">
      <c r="L430" s="58"/>
    </row>
    <row r="431" ht="15.75" customHeight="1">
      <c r="L431" s="58"/>
    </row>
    <row r="432" ht="15.75" customHeight="1">
      <c r="L432" s="58"/>
    </row>
    <row r="433" ht="15.75" customHeight="1">
      <c r="L433" s="58"/>
    </row>
    <row r="434" ht="15.75" customHeight="1">
      <c r="L434" s="58"/>
    </row>
    <row r="435" ht="15.75" customHeight="1">
      <c r="L435" s="58"/>
    </row>
    <row r="436" ht="15.75" customHeight="1">
      <c r="L436" s="58"/>
    </row>
    <row r="437" ht="15.75" customHeight="1">
      <c r="L437" s="58"/>
    </row>
    <row r="438" ht="15.75" customHeight="1">
      <c r="L438" s="58"/>
    </row>
    <row r="439" ht="15.75" customHeight="1">
      <c r="L439" s="58"/>
    </row>
    <row r="440" ht="15.75" customHeight="1">
      <c r="L440" s="58"/>
    </row>
    <row r="441" ht="15.75" customHeight="1">
      <c r="L441" s="58"/>
    </row>
    <row r="442" ht="15.75" customHeight="1">
      <c r="L442" s="58"/>
    </row>
    <row r="443" ht="15.75" customHeight="1">
      <c r="L443" s="58"/>
    </row>
    <row r="444" ht="15.75" customHeight="1">
      <c r="L444" s="58"/>
    </row>
    <row r="445" ht="15.75" customHeight="1">
      <c r="L445" s="58"/>
    </row>
    <row r="446" ht="15.75" customHeight="1">
      <c r="L446" s="58"/>
    </row>
    <row r="447" ht="15.75" customHeight="1">
      <c r="L447" s="58"/>
    </row>
    <row r="448" ht="15.75" customHeight="1">
      <c r="L448" s="58"/>
    </row>
    <row r="449" ht="15.75" customHeight="1">
      <c r="L449" s="58"/>
    </row>
    <row r="450" ht="15.75" customHeight="1">
      <c r="L450" s="58"/>
    </row>
    <row r="451" ht="15.75" customHeight="1">
      <c r="L451" s="58"/>
    </row>
    <row r="452" ht="15.75" customHeight="1">
      <c r="L452" s="58"/>
    </row>
    <row r="453" ht="15.75" customHeight="1">
      <c r="L453" s="58"/>
    </row>
    <row r="454" ht="15.75" customHeight="1">
      <c r="L454" s="58"/>
    </row>
    <row r="455" ht="15.75" customHeight="1">
      <c r="L455" s="58"/>
    </row>
    <row r="456" ht="15.75" customHeight="1">
      <c r="L456" s="58"/>
    </row>
    <row r="457" ht="15.75" customHeight="1">
      <c r="L457" s="58"/>
    </row>
    <row r="458" ht="15.75" customHeight="1">
      <c r="L458" s="58"/>
    </row>
    <row r="459" ht="15.75" customHeight="1">
      <c r="L459" s="58"/>
    </row>
    <row r="460" ht="15.75" customHeight="1">
      <c r="L460" s="58"/>
    </row>
    <row r="461" ht="15.75" customHeight="1">
      <c r="L461" s="58"/>
    </row>
    <row r="462" ht="15.75" customHeight="1">
      <c r="L462" s="58"/>
    </row>
    <row r="463" ht="15.75" customHeight="1">
      <c r="L463" s="58"/>
    </row>
    <row r="464" ht="15.75" customHeight="1">
      <c r="L464" s="58"/>
    </row>
    <row r="465" ht="15.75" customHeight="1">
      <c r="L465" s="58"/>
    </row>
    <row r="466" ht="15.75" customHeight="1">
      <c r="L466" s="58"/>
    </row>
    <row r="467" ht="15.75" customHeight="1">
      <c r="L467" s="58"/>
    </row>
    <row r="468" ht="15.75" customHeight="1">
      <c r="L468" s="58"/>
    </row>
    <row r="469" ht="15.75" customHeight="1">
      <c r="L469" s="58"/>
    </row>
    <row r="470" ht="15.75" customHeight="1">
      <c r="L470" s="58"/>
    </row>
    <row r="471" ht="15.75" customHeight="1">
      <c r="L471" s="58"/>
    </row>
    <row r="472" ht="15.75" customHeight="1">
      <c r="L472" s="58"/>
    </row>
    <row r="473" ht="15.75" customHeight="1">
      <c r="L473" s="58"/>
    </row>
    <row r="474" ht="15.75" customHeight="1">
      <c r="L474" s="58"/>
    </row>
    <row r="475" ht="15.75" customHeight="1">
      <c r="L475" s="58"/>
    </row>
    <row r="476" ht="15.75" customHeight="1">
      <c r="L476" s="58"/>
    </row>
    <row r="477" ht="15.75" customHeight="1">
      <c r="L477" s="58"/>
    </row>
    <row r="478" ht="15.75" customHeight="1">
      <c r="L478" s="58"/>
    </row>
    <row r="479" ht="15.75" customHeight="1">
      <c r="L479" s="58"/>
    </row>
    <row r="480" ht="15.75" customHeight="1">
      <c r="L480" s="58"/>
    </row>
    <row r="481" ht="15.75" customHeight="1">
      <c r="L481" s="58"/>
    </row>
    <row r="482" ht="15.75" customHeight="1">
      <c r="L482" s="58"/>
    </row>
    <row r="483" ht="15.75" customHeight="1">
      <c r="L483" s="58"/>
    </row>
    <row r="484" ht="15.75" customHeight="1">
      <c r="L484" s="58"/>
    </row>
    <row r="485" ht="15.75" customHeight="1">
      <c r="L485" s="58"/>
    </row>
    <row r="486" ht="15.75" customHeight="1">
      <c r="L486" s="58"/>
    </row>
    <row r="487" ht="15.75" customHeight="1">
      <c r="L487" s="58"/>
    </row>
    <row r="488" ht="15.75" customHeight="1">
      <c r="L488" s="58"/>
    </row>
    <row r="489" ht="15.75" customHeight="1">
      <c r="L489" s="58"/>
    </row>
    <row r="490" ht="15.75" customHeight="1">
      <c r="L490" s="58"/>
    </row>
    <row r="491" ht="15.75" customHeight="1">
      <c r="L491" s="58"/>
    </row>
    <row r="492" ht="15.75" customHeight="1">
      <c r="L492" s="58"/>
    </row>
    <row r="493" ht="15.75" customHeight="1">
      <c r="L493" s="58"/>
    </row>
    <row r="494" ht="15.75" customHeight="1">
      <c r="L494" s="58"/>
    </row>
    <row r="495" ht="15.75" customHeight="1">
      <c r="L495" s="58"/>
    </row>
    <row r="496" ht="15.75" customHeight="1">
      <c r="L496" s="58"/>
    </row>
    <row r="497" ht="15.75" customHeight="1">
      <c r="L497" s="58"/>
    </row>
    <row r="498" ht="15.75" customHeight="1">
      <c r="L498" s="58"/>
    </row>
    <row r="499" ht="15.75" customHeight="1">
      <c r="L499" s="58"/>
    </row>
    <row r="500" ht="15.75" customHeight="1">
      <c r="L500" s="58"/>
    </row>
    <row r="501" ht="15.75" customHeight="1">
      <c r="L501" s="58"/>
    </row>
    <row r="502" ht="15.75" customHeight="1">
      <c r="L502" s="58"/>
    </row>
    <row r="503" ht="15.75" customHeight="1">
      <c r="L503" s="58"/>
    </row>
    <row r="504" ht="15.75" customHeight="1">
      <c r="L504" s="58"/>
    </row>
    <row r="505" ht="15.75" customHeight="1">
      <c r="L505" s="58"/>
    </row>
    <row r="506" ht="15.75" customHeight="1">
      <c r="L506" s="58"/>
    </row>
    <row r="507" ht="15.75" customHeight="1">
      <c r="L507" s="58"/>
    </row>
    <row r="508" ht="15.75" customHeight="1">
      <c r="L508" s="58"/>
    </row>
    <row r="509" ht="15.75" customHeight="1">
      <c r="L509" s="58"/>
    </row>
    <row r="510" ht="15.75" customHeight="1">
      <c r="L510" s="58"/>
    </row>
    <row r="511" ht="15.75" customHeight="1">
      <c r="L511" s="58"/>
    </row>
    <row r="512" ht="15.75" customHeight="1">
      <c r="L512" s="58"/>
    </row>
    <row r="513" ht="15.75" customHeight="1">
      <c r="L513" s="58"/>
    </row>
    <row r="514" ht="15.75" customHeight="1">
      <c r="L514" s="58"/>
    </row>
    <row r="515" ht="15.75" customHeight="1">
      <c r="L515" s="58"/>
    </row>
    <row r="516" ht="15.75" customHeight="1">
      <c r="L516" s="58"/>
    </row>
    <row r="517" ht="15.75" customHeight="1">
      <c r="L517" s="58"/>
    </row>
    <row r="518" ht="15.75" customHeight="1">
      <c r="L518" s="58"/>
    </row>
    <row r="519" ht="15.75" customHeight="1">
      <c r="L519" s="58"/>
    </row>
    <row r="520" ht="15.75" customHeight="1">
      <c r="L520" s="58"/>
    </row>
    <row r="521" ht="15.75" customHeight="1">
      <c r="L521" s="58"/>
    </row>
    <row r="522" ht="15.75" customHeight="1">
      <c r="L522" s="58"/>
    </row>
    <row r="523" ht="15.75" customHeight="1">
      <c r="L523" s="58"/>
    </row>
    <row r="524" ht="15.75" customHeight="1">
      <c r="L524" s="58"/>
    </row>
    <row r="525" ht="15.75" customHeight="1">
      <c r="L525" s="58"/>
    </row>
    <row r="526" ht="15.75" customHeight="1">
      <c r="L526" s="58"/>
    </row>
    <row r="527" ht="15.75" customHeight="1">
      <c r="L527" s="58"/>
    </row>
    <row r="528" ht="15.75" customHeight="1">
      <c r="L528" s="58"/>
    </row>
    <row r="529" ht="15.75" customHeight="1">
      <c r="L529" s="58"/>
    </row>
    <row r="530" ht="15.75" customHeight="1">
      <c r="L530" s="58"/>
    </row>
    <row r="531" ht="15.75" customHeight="1">
      <c r="L531" s="58"/>
    </row>
    <row r="532" ht="15.75" customHeight="1">
      <c r="L532" s="58"/>
    </row>
    <row r="533" ht="15.75" customHeight="1">
      <c r="L533" s="58"/>
    </row>
    <row r="534" ht="15.75" customHeight="1">
      <c r="L534" s="58"/>
    </row>
    <row r="535" ht="15.75" customHeight="1">
      <c r="L535" s="58"/>
    </row>
    <row r="536" ht="15.75" customHeight="1">
      <c r="L536" s="58"/>
    </row>
    <row r="537" ht="15.75" customHeight="1">
      <c r="L537" s="58"/>
    </row>
    <row r="538" ht="15.75" customHeight="1">
      <c r="L538" s="58"/>
    </row>
    <row r="539" ht="15.75" customHeight="1">
      <c r="L539" s="58"/>
    </row>
    <row r="540" ht="15.75" customHeight="1">
      <c r="L540" s="58"/>
    </row>
    <row r="541" ht="15.75" customHeight="1">
      <c r="L541" s="58"/>
    </row>
    <row r="542" ht="15.75" customHeight="1">
      <c r="L542" s="58"/>
    </row>
    <row r="543" ht="15.75" customHeight="1">
      <c r="L543" s="58"/>
    </row>
    <row r="544" ht="15.75" customHeight="1">
      <c r="L544" s="58"/>
    </row>
    <row r="545" ht="15.75" customHeight="1">
      <c r="L545" s="58"/>
    </row>
    <row r="546" ht="15.75" customHeight="1">
      <c r="L546" s="58"/>
    </row>
    <row r="547" ht="15.75" customHeight="1">
      <c r="L547" s="58"/>
    </row>
    <row r="548" ht="15.75" customHeight="1">
      <c r="L548" s="58"/>
    </row>
    <row r="549" ht="15.75" customHeight="1">
      <c r="L549" s="58"/>
    </row>
    <row r="550" ht="15.75" customHeight="1">
      <c r="L550" s="58"/>
    </row>
    <row r="551" ht="15.75" customHeight="1">
      <c r="L551" s="58"/>
    </row>
    <row r="552" ht="15.75" customHeight="1">
      <c r="L552" s="58"/>
    </row>
    <row r="553" ht="15.75" customHeight="1">
      <c r="L553" s="58"/>
    </row>
    <row r="554" ht="15.75" customHeight="1">
      <c r="L554" s="58"/>
    </row>
    <row r="555" ht="15.75" customHeight="1">
      <c r="L555" s="58"/>
    </row>
    <row r="556" ht="15.75" customHeight="1">
      <c r="L556" s="58"/>
    </row>
    <row r="557" ht="15.75" customHeight="1">
      <c r="L557" s="58"/>
    </row>
    <row r="558" ht="15.75" customHeight="1">
      <c r="L558" s="58"/>
    </row>
    <row r="559" ht="15.75" customHeight="1">
      <c r="L559" s="58"/>
    </row>
    <row r="560" ht="15.75" customHeight="1">
      <c r="L560" s="58"/>
    </row>
    <row r="561" ht="15.75" customHeight="1">
      <c r="L561" s="58"/>
    </row>
    <row r="562" ht="15.75" customHeight="1">
      <c r="L562" s="58"/>
    </row>
    <row r="563" ht="15.75" customHeight="1">
      <c r="L563" s="58"/>
    </row>
    <row r="564" ht="15.75" customHeight="1">
      <c r="L564" s="58"/>
    </row>
    <row r="565" ht="15.75" customHeight="1">
      <c r="L565" s="58"/>
    </row>
    <row r="566" ht="15.75" customHeight="1">
      <c r="L566" s="58"/>
    </row>
    <row r="567" ht="15.75" customHeight="1">
      <c r="L567" s="58"/>
    </row>
    <row r="568" ht="15.75" customHeight="1">
      <c r="L568" s="58"/>
    </row>
    <row r="569" ht="15.75" customHeight="1">
      <c r="L569" s="58"/>
    </row>
    <row r="570" ht="15.75" customHeight="1">
      <c r="L570" s="58"/>
    </row>
    <row r="571" ht="15.75" customHeight="1">
      <c r="L571" s="58"/>
    </row>
    <row r="572" ht="15.75" customHeight="1">
      <c r="L572" s="58"/>
    </row>
    <row r="573" ht="15.75" customHeight="1">
      <c r="L573" s="58"/>
    </row>
    <row r="574" ht="15.75" customHeight="1">
      <c r="L574" s="58"/>
    </row>
    <row r="575" ht="15.75" customHeight="1">
      <c r="L575" s="58"/>
    </row>
    <row r="576" ht="15.75" customHeight="1">
      <c r="L576" s="58"/>
    </row>
    <row r="577" ht="15.75" customHeight="1">
      <c r="L577" s="58"/>
    </row>
    <row r="578" ht="15.75" customHeight="1">
      <c r="L578" s="58"/>
    </row>
    <row r="579" ht="15.75" customHeight="1">
      <c r="L579" s="58"/>
    </row>
    <row r="580" ht="15.75" customHeight="1">
      <c r="L580" s="58"/>
    </row>
    <row r="581" ht="15.75" customHeight="1">
      <c r="L581" s="58"/>
    </row>
    <row r="582" ht="15.75" customHeight="1">
      <c r="L582" s="58"/>
    </row>
    <row r="583" ht="15.75" customHeight="1">
      <c r="L583" s="58"/>
    </row>
    <row r="584" ht="15.75" customHeight="1">
      <c r="L584" s="58"/>
    </row>
    <row r="585" ht="15.75" customHeight="1">
      <c r="L585" s="58"/>
    </row>
    <row r="586" ht="15.75" customHeight="1">
      <c r="L586" s="58"/>
    </row>
    <row r="587" ht="15.75" customHeight="1">
      <c r="L587" s="58"/>
    </row>
    <row r="588" ht="15.75" customHeight="1">
      <c r="L588" s="58"/>
    </row>
    <row r="589" ht="15.75" customHeight="1">
      <c r="L589" s="58"/>
    </row>
    <row r="590" ht="15.75" customHeight="1">
      <c r="L590" s="58"/>
    </row>
    <row r="591" ht="15.75" customHeight="1">
      <c r="L591" s="58"/>
    </row>
    <row r="592" ht="15.75" customHeight="1">
      <c r="L592" s="58"/>
    </row>
    <row r="593" ht="15.75" customHeight="1">
      <c r="L593" s="58"/>
    </row>
    <row r="594" ht="15.75" customHeight="1">
      <c r="L594" s="58"/>
    </row>
    <row r="595" ht="15.75" customHeight="1">
      <c r="L595" s="58"/>
    </row>
    <row r="596" ht="15.75" customHeight="1">
      <c r="L596" s="58"/>
    </row>
    <row r="597" ht="15.75" customHeight="1">
      <c r="L597" s="58"/>
    </row>
    <row r="598" ht="15.75" customHeight="1">
      <c r="L598" s="58"/>
    </row>
    <row r="599" ht="15.75" customHeight="1">
      <c r="L599" s="58"/>
    </row>
    <row r="600" ht="15.75" customHeight="1">
      <c r="L600" s="58"/>
    </row>
    <row r="601" ht="15.75" customHeight="1">
      <c r="L601" s="58"/>
    </row>
    <row r="602" ht="15.75" customHeight="1">
      <c r="L602" s="58"/>
    </row>
    <row r="603" ht="15.75" customHeight="1">
      <c r="L603" s="58"/>
    </row>
    <row r="604" ht="15.75" customHeight="1">
      <c r="L604" s="58"/>
    </row>
    <row r="605" ht="15.75" customHeight="1">
      <c r="L605" s="58"/>
    </row>
    <row r="606" ht="15.75" customHeight="1">
      <c r="L606" s="58"/>
    </row>
    <row r="607" ht="15.75" customHeight="1">
      <c r="L607" s="58"/>
    </row>
    <row r="608" ht="15.75" customHeight="1">
      <c r="L608" s="58"/>
    </row>
    <row r="609" ht="15.75" customHeight="1">
      <c r="L609" s="58"/>
    </row>
    <row r="610" ht="15.75" customHeight="1">
      <c r="L610" s="58"/>
    </row>
    <row r="611" ht="15.75" customHeight="1">
      <c r="L611" s="58"/>
    </row>
    <row r="612" ht="15.75" customHeight="1">
      <c r="L612" s="58"/>
    </row>
    <row r="613" ht="15.75" customHeight="1">
      <c r="L613" s="58"/>
    </row>
    <row r="614" ht="15.75" customHeight="1">
      <c r="L614" s="58"/>
    </row>
    <row r="615" ht="15.75" customHeight="1">
      <c r="L615" s="58"/>
    </row>
    <row r="616" ht="15.75" customHeight="1">
      <c r="L616" s="58"/>
    </row>
    <row r="617" ht="15.75" customHeight="1">
      <c r="L617" s="58"/>
    </row>
    <row r="618" ht="15.75" customHeight="1">
      <c r="L618" s="58"/>
    </row>
    <row r="619" ht="15.75" customHeight="1">
      <c r="L619" s="58"/>
    </row>
    <row r="620" ht="15.75" customHeight="1">
      <c r="L620" s="58"/>
    </row>
    <row r="621" ht="15.75" customHeight="1">
      <c r="L621" s="58"/>
    </row>
    <row r="622" ht="15.75" customHeight="1">
      <c r="L622" s="58"/>
    </row>
    <row r="623" ht="15.75" customHeight="1">
      <c r="L623" s="58"/>
    </row>
    <row r="624" ht="15.75" customHeight="1">
      <c r="L624" s="58"/>
    </row>
    <row r="625" ht="15.75" customHeight="1">
      <c r="L625" s="58"/>
    </row>
    <row r="626" ht="15.75" customHeight="1">
      <c r="L626" s="58"/>
    </row>
    <row r="627" ht="15.75" customHeight="1">
      <c r="L627" s="58"/>
    </row>
    <row r="628" ht="15.75" customHeight="1">
      <c r="L628" s="58"/>
    </row>
    <row r="629" ht="15.75" customHeight="1">
      <c r="L629" s="58"/>
    </row>
    <row r="630" ht="15.75" customHeight="1">
      <c r="L630" s="58"/>
    </row>
    <row r="631" ht="15.75" customHeight="1">
      <c r="L631" s="58"/>
    </row>
    <row r="632" ht="15.75" customHeight="1">
      <c r="L632" s="58"/>
    </row>
    <row r="633" ht="15.75" customHeight="1">
      <c r="L633" s="58"/>
    </row>
    <row r="634" ht="15.75" customHeight="1">
      <c r="L634" s="58"/>
    </row>
    <row r="635" ht="15.75" customHeight="1">
      <c r="L635" s="58"/>
    </row>
    <row r="636" ht="15.75" customHeight="1">
      <c r="L636" s="58"/>
    </row>
    <row r="637" ht="15.75" customHeight="1">
      <c r="L637" s="58"/>
    </row>
    <row r="638" ht="15.75" customHeight="1">
      <c r="L638" s="58"/>
    </row>
    <row r="639" ht="15.75" customHeight="1">
      <c r="L639" s="58"/>
    </row>
    <row r="640" ht="15.75" customHeight="1">
      <c r="L640" s="58"/>
    </row>
    <row r="641" ht="15.75" customHeight="1">
      <c r="L641" s="58"/>
    </row>
    <row r="642" ht="15.75" customHeight="1">
      <c r="L642" s="58"/>
    </row>
    <row r="643" ht="15.75" customHeight="1">
      <c r="L643" s="58"/>
    </row>
    <row r="644" ht="15.75" customHeight="1">
      <c r="L644" s="58"/>
    </row>
    <row r="645" ht="15.75" customHeight="1">
      <c r="L645" s="58"/>
    </row>
    <row r="646" ht="15.75" customHeight="1">
      <c r="L646" s="58"/>
    </row>
    <row r="647" ht="15.75" customHeight="1">
      <c r="L647" s="58"/>
    </row>
    <row r="648" ht="15.75" customHeight="1">
      <c r="L648" s="58"/>
    </row>
    <row r="649" ht="15.75" customHeight="1">
      <c r="L649" s="58"/>
    </row>
    <row r="650" ht="15.75" customHeight="1">
      <c r="L650" s="58"/>
    </row>
    <row r="651" ht="15.75" customHeight="1">
      <c r="L651" s="58"/>
    </row>
    <row r="652" ht="15.75" customHeight="1">
      <c r="L652" s="58"/>
    </row>
    <row r="653" ht="15.75" customHeight="1">
      <c r="L653" s="58"/>
    </row>
    <row r="654" ht="15.75" customHeight="1">
      <c r="L654" s="58"/>
    </row>
    <row r="655" ht="15.75" customHeight="1">
      <c r="L655" s="58"/>
    </row>
    <row r="656" ht="15.75" customHeight="1">
      <c r="L656" s="58"/>
    </row>
    <row r="657" ht="15.75" customHeight="1">
      <c r="L657" s="58"/>
    </row>
    <row r="658" ht="15.75" customHeight="1">
      <c r="L658" s="58"/>
    </row>
    <row r="659" ht="15.75" customHeight="1">
      <c r="L659" s="58"/>
    </row>
    <row r="660" ht="15.75" customHeight="1">
      <c r="L660" s="58"/>
    </row>
    <row r="661" ht="15.75" customHeight="1">
      <c r="L661" s="58"/>
    </row>
    <row r="662" ht="15.75" customHeight="1">
      <c r="L662" s="58"/>
    </row>
    <row r="663" ht="15.75" customHeight="1">
      <c r="L663" s="58"/>
    </row>
    <row r="664" ht="15.75" customHeight="1">
      <c r="L664" s="58"/>
    </row>
    <row r="665" ht="15.75" customHeight="1">
      <c r="L665" s="58"/>
    </row>
    <row r="666" ht="15.75" customHeight="1">
      <c r="L666" s="58"/>
    </row>
    <row r="667" ht="15.75" customHeight="1">
      <c r="L667" s="58"/>
    </row>
    <row r="668" ht="15.75" customHeight="1">
      <c r="L668" s="58"/>
    </row>
    <row r="669" ht="15.75" customHeight="1">
      <c r="L669" s="58"/>
    </row>
    <row r="670" ht="15.75" customHeight="1">
      <c r="L670" s="58"/>
    </row>
    <row r="671" ht="15.75" customHeight="1">
      <c r="L671" s="58"/>
    </row>
    <row r="672" ht="15.75" customHeight="1">
      <c r="L672" s="58"/>
    </row>
    <row r="673" ht="15.75" customHeight="1">
      <c r="L673" s="58"/>
    </row>
    <row r="674" ht="15.75" customHeight="1">
      <c r="L674" s="58"/>
    </row>
    <row r="675" ht="15.75" customHeight="1">
      <c r="L675" s="58"/>
    </row>
    <row r="676" ht="15.75" customHeight="1">
      <c r="L676" s="58"/>
    </row>
    <row r="677" ht="15.75" customHeight="1">
      <c r="L677" s="58"/>
    </row>
    <row r="678" ht="15.75" customHeight="1">
      <c r="L678" s="58"/>
    </row>
    <row r="679" ht="15.75" customHeight="1">
      <c r="L679" s="58"/>
    </row>
    <row r="680" ht="15.75" customHeight="1">
      <c r="L680" s="58"/>
    </row>
    <row r="681" ht="15.75" customHeight="1">
      <c r="L681" s="58"/>
    </row>
    <row r="682" ht="15.75" customHeight="1">
      <c r="L682" s="58"/>
    </row>
    <row r="683" ht="15.75" customHeight="1">
      <c r="L683" s="58"/>
    </row>
    <row r="684" ht="15.75" customHeight="1">
      <c r="L684" s="58"/>
    </row>
    <row r="685" ht="15.75" customHeight="1">
      <c r="L685" s="58"/>
    </row>
    <row r="686" ht="15.75" customHeight="1">
      <c r="L686" s="58"/>
    </row>
    <row r="687" ht="15.75" customHeight="1">
      <c r="L687" s="58"/>
    </row>
    <row r="688" ht="15.75" customHeight="1">
      <c r="L688" s="58"/>
    </row>
    <row r="689" ht="15.75" customHeight="1">
      <c r="L689" s="58"/>
    </row>
    <row r="690" ht="15.75" customHeight="1">
      <c r="L690" s="58"/>
    </row>
    <row r="691" ht="15.75" customHeight="1">
      <c r="L691" s="58"/>
    </row>
    <row r="692" ht="15.75" customHeight="1">
      <c r="L692" s="58"/>
    </row>
    <row r="693" ht="15.75" customHeight="1">
      <c r="L693" s="58"/>
    </row>
    <row r="694" ht="15.75" customHeight="1">
      <c r="L694" s="58"/>
    </row>
    <row r="695" ht="15.75" customHeight="1">
      <c r="L695" s="58"/>
    </row>
    <row r="696" ht="15.75" customHeight="1">
      <c r="L696" s="58"/>
    </row>
    <row r="697" ht="15.75" customHeight="1">
      <c r="L697" s="58"/>
    </row>
    <row r="698" ht="15.75" customHeight="1">
      <c r="L698" s="58"/>
    </row>
    <row r="699" ht="15.75" customHeight="1">
      <c r="L699" s="58"/>
    </row>
    <row r="700" ht="15.75" customHeight="1">
      <c r="L700" s="58"/>
    </row>
    <row r="701" ht="15.75" customHeight="1">
      <c r="L701" s="58"/>
    </row>
    <row r="702" ht="15.75" customHeight="1">
      <c r="L702" s="58"/>
    </row>
    <row r="703" ht="15.75" customHeight="1">
      <c r="L703" s="58"/>
    </row>
    <row r="704" ht="15.75" customHeight="1">
      <c r="L704" s="58"/>
    </row>
    <row r="705" ht="15.75" customHeight="1">
      <c r="L705" s="58"/>
    </row>
    <row r="706" ht="15.75" customHeight="1">
      <c r="L706" s="58"/>
    </row>
    <row r="707" ht="15.75" customHeight="1">
      <c r="L707" s="58"/>
    </row>
    <row r="708" ht="15.75" customHeight="1">
      <c r="L708" s="58"/>
    </row>
    <row r="709" ht="15.75" customHeight="1">
      <c r="L709" s="58"/>
    </row>
    <row r="710" ht="15.75" customHeight="1">
      <c r="L710" s="58"/>
    </row>
    <row r="711" ht="15.75" customHeight="1">
      <c r="L711" s="58"/>
    </row>
    <row r="712" ht="15.75" customHeight="1">
      <c r="L712" s="58"/>
    </row>
    <row r="713" ht="15.75" customHeight="1">
      <c r="L713" s="58"/>
    </row>
    <row r="714" ht="15.75" customHeight="1">
      <c r="L714" s="58"/>
    </row>
    <row r="715" ht="15.75" customHeight="1">
      <c r="L715" s="58"/>
    </row>
    <row r="716" ht="15.75" customHeight="1">
      <c r="L716" s="58"/>
    </row>
    <row r="717" ht="15.75" customHeight="1">
      <c r="L717" s="58"/>
    </row>
    <row r="718" ht="15.75" customHeight="1">
      <c r="L718" s="58"/>
    </row>
    <row r="719" ht="15.75" customHeight="1">
      <c r="L719" s="58"/>
    </row>
    <row r="720" ht="15.75" customHeight="1">
      <c r="L720" s="58"/>
    </row>
    <row r="721" ht="15.75" customHeight="1">
      <c r="L721" s="58"/>
    </row>
    <row r="722" ht="15.75" customHeight="1">
      <c r="L722" s="58"/>
    </row>
    <row r="723" ht="15.75" customHeight="1">
      <c r="L723" s="58"/>
    </row>
    <row r="724" ht="15.75" customHeight="1">
      <c r="L724" s="58"/>
    </row>
    <row r="725" ht="15.75" customHeight="1">
      <c r="L725" s="58"/>
    </row>
    <row r="726" ht="15.75" customHeight="1">
      <c r="L726" s="58"/>
    </row>
    <row r="727" ht="15.75" customHeight="1">
      <c r="L727" s="58"/>
    </row>
    <row r="728" ht="15.75" customHeight="1">
      <c r="L728" s="58"/>
    </row>
    <row r="729" ht="15.75" customHeight="1">
      <c r="L729" s="58"/>
    </row>
    <row r="730" ht="15.75" customHeight="1">
      <c r="L730" s="58"/>
    </row>
    <row r="731" ht="15.75" customHeight="1">
      <c r="L731" s="58"/>
    </row>
    <row r="732" ht="15.75" customHeight="1">
      <c r="L732" s="58"/>
    </row>
    <row r="733" ht="15.75" customHeight="1">
      <c r="L733" s="58"/>
    </row>
    <row r="734" ht="15.75" customHeight="1">
      <c r="L734" s="58"/>
    </row>
    <row r="735" ht="15.75" customHeight="1">
      <c r="L735" s="58"/>
    </row>
    <row r="736" ht="15.75" customHeight="1">
      <c r="L736" s="58"/>
    </row>
    <row r="737" ht="15.75" customHeight="1">
      <c r="L737" s="58"/>
    </row>
    <row r="738" ht="15.75" customHeight="1">
      <c r="L738" s="58"/>
    </row>
    <row r="739" ht="15.75" customHeight="1">
      <c r="L739" s="58"/>
    </row>
    <row r="740" ht="15.75" customHeight="1">
      <c r="L740" s="58"/>
    </row>
    <row r="741" ht="15.75" customHeight="1">
      <c r="L741" s="58"/>
    </row>
    <row r="742" ht="15.75" customHeight="1">
      <c r="L742" s="58"/>
    </row>
    <row r="743" ht="15.75" customHeight="1">
      <c r="L743" s="58"/>
    </row>
    <row r="744" ht="15.75" customHeight="1">
      <c r="L744" s="58"/>
    </row>
    <row r="745" ht="15.75" customHeight="1">
      <c r="L745" s="58"/>
    </row>
    <row r="746" ht="15.75" customHeight="1">
      <c r="L746" s="58"/>
    </row>
    <row r="747" ht="15.75" customHeight="1">
      <c r="L747" s="58"/>
    </row>
    <row r="748" ht="15.75" customHeight="1">
      <c r="L748" s="58"/>
    </row>
    <row r="749" ht="15.75" customHeight="1">
      <c r="L749" s="58"/>
    </row>
    <row r="750" ht="15.75" customHeight="1">
      <c r="L750" s="58"/>
    </row>
    <row r="751" ht="15.75" customHeight="1">
      <c r="L751" s="58"/>
    </row>
    <row r="752" ht="15.75" customHeight="1">
      <c r="L752" s="58"/>
    </row>
    <row r="753" ht="15.75" customHeight="1">
      <c r="L753" s="58"/>
    </row>
    <row r="754" ht="15.75" customHeight="1">
      <c r="L754" s="58"/>
    </row>
    <row r="755" ht="15.75" customHeight="1">
      <c r="L755" s="58"/>
    </row>
    <row r="756" ht="15.75" customHeight="1">
      <c r="L756" s="58"/>
    </row>
    <row r="757" ht="15.75" customHeight="1">
      <c r="L757" s="58"/>
    </row>
    <row r="758" ht="15.75" customHeight="1">
      <c r="L758" s="58"/>
    </row>
    <row r="759" ht="15.75" customHeight="1">
      <c r="L759" s="58"/>
    </row>
    <row r="760" ht="15.75" customHeight="1">
      <c r="L760" s="58"/>
    </row>
    <row r="761" ht="15.75" customHeight="1">
      <c r="L761" s="58"/>
    </row>
    <row r="762" ht="15.75" customHeight="1">
      <c r="L762" s="58"/>
    </row>
    <row r="763" ht="15.75" customHeight="1">
      <c r="L763" s="58"/>
    </row>
    <row r="764" ht="15.75" customHeight="1">
      <c r="L764" s="58"/>
    </row>
    <row r="765" ht="15.75" customHeight="1">
      <c r="L765" s="58"/>
    </row>
    <row r="766" ht="15.75" customHeight="1">
      <c r="L766" s="58"/>
    </row>
    <row r="767" ht="15.75" customHeight="1">
      <c r="L767" s="58"/>
    </row>
    <row r="768" ht="15.75" customHeight="1">
      <c r="L768" s="58"/>
    </row>
    <row r="769" ht="15.75" customHeight="1">
      <c r="L769" s="58"/>
    </row>
    <row r="770" ht="15.75" customHeight="1">
      <c r="L770" s="58"/>
    </row>
    <row r="771" ht="15.75" customHeight="1">
      <c r="L771" s="58"/>
    </row>
    <row r="772" ht="15.75" customHeight="1">
      <c r="L772" s="58"/>
    </row>
    <row r="773" ht="15.75" customHeight="1">
      <c r="L773" s="58"/>
    </row>
    <row r="774" ht="15.75" customHeight="1">
      <c r="L774" s="58"/>
    </row>
    <row r="775" ht="15.75" customHeight="1">
      <c r="L775" s="58"/>
    </row>
    <row r="776" ht="15.75" customHeight="1">
      <c r="L776" s="58"/>
    </row>
    <row r="777" ht="15.75" customHeight="1">
      <c r="L777" s="58"/>
    </row>
    <row r="778" ht="15.75" customHeight="1">
      <c r="L778" s="58"/>
    </row>
    <row r="779" ht="15.75" customHeight="1">
      <c r="L779" s="58"/>
    </row>
    <row r="780" ht="15.75" customHeight="1">
      <c r="L780" s="58"/>
    </row>
    <row r="781" ht="15.75" customHeight="1">
      <c r="L781" s="58"/>
    </row>
    <row r="782" ht="15.75" customHeight="1">
      <c r="L782" s="58"/>
    </row>
    <row r="783" ht="15.75" customHeight="1">
      <c r="L783" s="58"/>
    </row>
    <row r="784" ht="15.75" customHeight="1">
      <c r="L784" s="58"/>
    </row>
    <row r="785" ht="15.75" customHeight="1">
      <c r="L785" s="58"/>
    </row>
    <row r="786" ht="15.75" customHeight="1">
      <c r="L786" s="58"/>
    </row>
    <row r="787" ht="15.75" customHeight="1">
      <c r="L787" s="58"/>
    </row>
    <row r="788" ht="15.75" customHeight="1">
      <c r="L788" s="58"/>
    </row>
    <row r="789" ht="15.75" customHeight="1">
      <c r="L789" s="58"/>
    </row>
    <row r="790" ht="15.75" customHeight="1">
      <c r="L790" s="58"/>
    </row>
    <row r="791" ht="15.75" customHeight="1">
      <c r="L791" s="58"/>
    </row>
    <row r="792" ht="15.75" customHeight="1">
      <c r="L792" s="58"/>
    </row>
    <row r="793" ht="15.75" customHeight="1">
      <c r="L793" s="58"/>
    </row>
    <row r="794" ht="15.75" customHeight="1">
      <c r="L794" s="58"/>
    </row>
    <row r="795" ht="15.75" customHeight="1">
      <c r="L795" s="58"/>
    </row>
    <row r="796" ht="15.75" customHeight="1">
      <c r="L796" s="58"/>
    </row>
    <row r="797" ht="15.75" customHeight="1">
      <c r="L797" s="58"/>
    </row>
    <row r="798" ht="15.75" customHeight="1">
      <c r="L798" s="58"/>
    </row>
    <row r="799" ht="15.75" customHeight="1">
      <c r="L799" s="58"/>
    </row>
    <row r="800" ht="15.75" customHeight="1">
      <c r="L800" s="58"/>
    </row>
    <row r="801" ht="15.75" customHeight="1">
      <c r="L801" s="58"/>
    </row>
    <row r="802" ht="15.75" customHeight="1">
      <c r="L802" s="58"/>
    </row>
    <row r="803" ht="15.75" customHeight="1">
      <c r="L803" s="58"/>
    </row>
    <row r="804" ht="15.75" customHeight="1">
      <c r="L804" s="58"/>
    </row>
    <row r="805" ht="15.75" customHeight="1">
      <c r="L805" s="58"/>
    </row>
    <row r="806" ht="15.75" customHeight="1">
      <c r="L806" s="58"/>
    </row>
    <row r="807" ht="15.75" customHeight="1">
      <c r="L807" s="58"/>
    </row>
    <row r="808" ht="15.75" customHeight="1">
      <c r="L808" s="58"/>
    </row>
    <row r="809" ht="15.75" customHeight="1">
      <c r="L809" s="58"/>
    </row>
    <row r="810" ht="15.75" customHeight="1">
      <c r="L810" s="58"/>
    </row>
    <row r="811" ht="15.75" customHeight="1">
      <c r="L811" s="58"/>
    </row>
    <row r="812" ht="15.75" customHeight="1">
      <c r="L812" s="58"/>
    </row>
    <row r="813" ht="15.75" customHeight="1">
      <c r="L813" s="58"/>
    </row>
    <row r="814" ht="15.75" customHeight="1">
      <c r="L814" s="58"/>
    </row>
    <row r="815" ht="15.75" customHeight="1">
      <c r="L815" s="58"/>
    </row>
    <row r="816" ht="15.75" customHeight="1">
      <c r="L816" s="58"/>
    </row>
    <row r="817" ht="15.75" customHeight="1">
      <c r="L817" s="58"/>
    </row>
    <row r="818" ht="15.75" customHeight="1">
      <c r="L818" s="58"/>
    </row>
    <row r="819" ht="15.75" customHeight="1">
      <c r="L819" s="58"/>
    </row>
    <row r="820" ht="15.75" customHeight="1">
      <c r="L820" s="58"/>
    </row>
    <row r="821" ht="15.75" customHeight="1">
      <c r="L821" s="58"/>
    </row>
    <row r="822" ht="15.75" customHeight="1">
      <c r="L822" s="58"/>
    </row>
    <row r="823" ht="15.75" customHeight="1">
      <c r="L823" s="58"/>
    </row>
    <row r="824" ht="15.75" customHeight="1">
      <c r="L824" s="58"/>
    </row>
    <row r="825" ht="15.75" customHeight="1">
      <c r="L825" s="58"/>
    </row>
    <row r="826" ht="15.75" customHeight="1">
      <c r="L826" s="58"/>
    </row>
    <row r="827" ht="15.75" customHeight="1">
      <c r="L827" s="58"/>
    </row>
    <row r="828" ht="15.75" customHeight="1">
      <c r="L828" s="58"/>
    </row>
    <row r="829" ht="15.75" customHeight="1">
      <c r="L829" s="58"/>
    </row>
    <row r="830" ht="15.75" customHeight="1">
      <c r="L830" s="58"/>
    </row>
    <row r="831" ht="15.75" customHeight="1">
      <c r="L831" s="58"/>
    </row>
    <row r="832" ht="15.75" customHeight="1">
      <c r="L832" s="58"/>
    </row>
    <row r="833" ht="15.75" customHeight="1">
      <c r="L833" s="58"/>
    </row>
    <row r="834" ht="15.75" customHeight="1">
      <c r="L834" s="58"/>
    </row>
    <row r="835" ht="15.75" customHeight="1">
      <c r="L835" s="58"/>
    </row>
    <row r="836" ht="15.75" customHeight="1">
      <c r="L836" s="58"/>
    </row>
    <row r="837" ht="15.75" customHeight="1">
      <c r="L837" s="58"/>
    </row>
    <row r="838" ht="15.75" customHeight="1">
      <c r="L838" s="58"/>
    </row>
    <row r="839" ht="15.75" customHeight="1">
      <c r="L839" s="58"/>
    </row>
    <row r="840" ht="15.75" customHeight="1">
      <c r="L840" s="58"/>
    </row>
    <row r="841" ht="15.75" customHeight="1">
      <c r="L841" s="58"/>
    </row>
    <row r="842" ht="15.75" customHeight="1">
      <c r="L842" s="58"/>
    </row>
    <row r="843" ht="15.75" customHeight="1">
      <c r="L843" s="58"/>
    </row>
    <row r="844" ht="15.75" customHeight="1">
      <c r="L844" s="58"/>
    </row>
    <row r="845" ht="15.75" customHeight="1">
      <c r="L845" s="58"/>
    </row>
    <row r="846" ht="15.75" customHeight="1">
      <c r="L846" s="58"/>
    </row>
    <row r="847" ht="15.75" customHeight="1">
      <c r="L847" s="58"/>
    </row>
    <row r="848" ht="15.75" customHeight="1">
      <c r="L848" s="58"/>
    </row>
    <row r="849" ht="15.75" customHeight="1">
      <c r="L849" s="58"/>
    </row>
    <row r="850" ht="15.75" customHeight="1">
      <c r="L850" s="58"/>
    </row>
    <row r="851" ht="15.75" customHeight="1">
      <c r="L851" s="58"/>
    </row>
    <row r="852" ht="15.75" customHeight="1">
      <c r="L852" s="58"/>
    </row>
    <row r="853" ht="15.75" customHeight="1">
      <c r="L853" s="58"/>
    </row>
    <row r="854" ht="15.75" customHeight="1">
      <c r="L854" s="58"/>
    </row>
    <row r="855" ht="15.75" customHeight="1">
      <c r="L855" s="58"/>
    </row>
    <row r="856" ht="15.75" customHeight="1">
      <c r="L856" s="58"/>
    </row>
    <row r="857" ht="15.75" customHeight="1">
      <c r="L857" s="58"/>
    </row>
    <row r="858" ht="15.75" customHeight="1">
      <c r="L858" s="58"/>
    </row>
    <row r="859" ht="15.75" customHeight="1">
      <c r="L859" s="58"/>
    </row>
    <row r="860" ht="15.75" customHeight="1">
      <c r="L860" s="58"/>
    </row>
    <row r="861" ht="15.75" customHeight="1">
      <c r="L861" s="58"/>
    </row>
    <row r="862" ht="15.75" customHeight="1">
      <c r="L862" s="58"/>
    </row>
    <row r="863" ht="15.75" customHeight="1">
      <c r="L863" s="58"/>
    </row>
    <row r="864" ht="15.75" customHeight="1">
      <c r="L864" s="58"/>
    </row>
    <row r="865" ht="15.75" customHeight="1">
      <c r="L865" s="58"/>
    </row>
    <row r="866" ht="15.75" customHeight="1">
      <c r="L866" s="58"/>
    </row>
    <row r="867" ht="15.75" customHeight="1">
      <c r="L867" s="58"/>
    </row>
    <row r="868" ht="15.75" customHeight="1">
      <c r="L868" s="58"/>
    </row>
    <row r="869" ht="15.75" customHeight="1">
      <c r="L869" s="58"/>
    </row>
    <row r="870" ht="15.75" customHeight="1">
      <c r="L870" s="58"/>
    </row>
    <row r="871" ht="15.75" customHeight="1">
      <c r="L871" s="58"/>
    </row>
    <row r="872" ht="15.75" customHeight="1">
      <c r="L872" s="58"/>
    </row>
    <row r="873" ht="15.75" customHeight="1">
      <c r="L873" s="58"/>
    </row>
    <row r="874" ht="15.75" customHeight="1">
      <c r="L874" s="58"/>
    </row>
    <row r="875" ht="15.75" customHeight="1">
      <c r="L875" s="58"/>
    </row>
    <row r="876" ht="15.75" customHeight="1">
      <c r="L876" s="58"/>
    </row>
    <row r="877" ht="15.75" customHeight="1">
      <c r="L877" s="58"/>
    </row>
    <row r="878" ht="15.75" customHeight="1">
      <c r="L878" s="58"/>
    </row>
    <row r="879" ht="15.75" customHeight="1">
      <c r="L879" s="58"/>
    </row>
    <row r="880" ht="15.75" customHeight="1">
      <c r="L880" s="58"/>
    </row>
    <row r="881" ht="15.75" customHeight="1">
      <c r="L881" s="58"/>
    </row>
    <row r="882" ht="15.75" customHeight="1">
      <c r="L882" s="58"/>
    </row>
    <row r="883" ht="15.75" customHeight="1">
      <c r="L883" s="58"/>
    </row>
    <row r="884" ht="15.75" customHeight="1">
      <c r="L884" s="58"/>
    </row>
    <row r="885" ht="15.75" customHeight="1">
      <c r="L885" s="58"/>
    </row>
    <row r="886" ht="15.75" customHeight="1">
      <c r="L886" s="58"/>
    </row>
    <row r="887" ht="15.75" customHeight="1">
      <c r="L887" s="58"/>
    </row>
    <row r="888" ht="15.75" customHeight="1">
      <c r="L888" s="58"/>
    </row>
    <row r="889" ht="15.75" customHeight="1">
      <c r="L889" s="58"/>
    </row>
    <row r="890" ht="15.75" customHeight="1">
      <c r="L890" s="58"/>
    </row>
    <row r="891" ht="15.75" customHeight="1">
      <c r="L891" s="58"/>
    </row>
    <row r="892" ht="15.75" customHeight="1">
      <c r="L892" s="58"/>
    </row>
    <row r="893" ht="15.75" customHeight="1">
      <c r="L893" s="58"/>
    </row>
    <row r="894" ht="15.75" customHeight="1">
      <c r="L894" s="58"/>
    </row>
    <row r="895" ht="15.75" customHeight="1">
      <c r="L895" s="58"/>
    </row>
    <row r="896" ht="15.75" customHeight="1">
      <c r="L896" s="58"/>
    </row>
    <row r="897" ht="15.75" customHeight="1">
      <c r="L897" s="58"/>
    </row>
    <row r="898" ht="15.75" customHeight="1">
      <c r="L898" s="58"/>
    </row>
    <row r="899" ht="15.75" customHeight="1">
      <c r="L899" s="58"/>
    </row>
    <row r="900" ht="15.75" customHeight="1">
      <c r="L900" s="58"/>
    </row>
    <row r="901" ht="15.75" customHeight="1">
      <c r="L901" s="58"/>
    </row>
    <row r="902" ht="15.75" customHeight="1">
      <c r="L902" s="58"/>
    </row>
    <row r="903" ht="15.75" customHeight="1">
      <c r="L903" s="58"/>
    </row>
    <row r="904" ht="15.75" customHeight="1">
      <c r="L904" s="58"/>
    </row>
    <row r="905" ht="15.75" customHeight="1">
      <c r="L905" s="58"/>
    </row>
    <row r="906" ht="15.75" customHeight="1">
      <c r="L906" s="58"/>
    </row>
    <row r="907" ht="15.75" customHeight="1">
      <c r="L907" s="58"/>
    </row>
    <row r="908" ht="15.75" customHeight="1">
      <c r="L908" s="58"/>
    </row>
    <row r="909" ht="15.75" customHeight="1">
      <c r="L909" s="58"/>
    </row>
    <row r="910" ht="15.75" customHeight="1">
      <c r="L910" s="58"/>
    </row>
    <row r="911" ht="15.75" customHeight="1">
      <c r="L911" s="58"/>
    </row>
    <row r="912" ht="15.75" customHeight="1">
      <c r="L912" s="58"/>
    </row>
    <row r="913" ht="15.75" customHeight="1">
      <c r="L913" s="58"/>
    </row>
    <row r="914" ht="15.75" customHeight="1">
      <c r="L914" s="58"/>
    </row>
    <row r="915" ht="15.75" customHeight="1">
      <c r="L915" s="58"/>
    </row>
    <row r="916" ht="15.75" customHeight="1">
      <c r="L916" s="58"/>
    </row>
    <row r="917" ht="15.75" customHeight="1">
      <c r="L917" s="58"/>
    </row>
    <row r="918" ht="15.75" customHeight="1">
      <c r="L918" s="58"/>
    </row>
    <row r="919" ht="15.75" customHeight="1">
      <c r="L919" s="58"/>
    </row>
    <row r="920" ht="15.75" customHeight="1">
      <c r="L920" s="58"/>
    </row>
    <row r="921" ht="15.75" customHeight="1">
      <c r="L921" s="58"/>
    </row>
    <row r="922" ht="15.75" customHeight="1">
      <c r="L922" s="58"/>
    </row>
    <row r="923" ht="15.75" customHeight="1">
      <c r="L923" s="58"/>
    </row>
    <row r="924" ht="15.75" customHeight="1">
      <c r="L924" s="58"/>
    </row>
    <row r="925" ht="15.75" customHeight="1">
      <c r="L925" s="58"/>
    </row>
    <row r="926" ht="15.75" customHeight="1">
      <c r="L926" s="58"/>
    </row>
    <row r="927" ht="15.75" customHeight="1">
      <c r="L927" s="58"/>
    </row>
    <row r="928" ht="15.75" customHeight="1">
      <c r="L928" s="58"/>
    </row>
    <row r="929" ht="15.75" customHeight="1">
      <c r="L929" s="58"/>
    </row>
    <row r="930" ht="15.75" customHeight="1">
      <c r="L930" s="58"/>
    </row>
    <row r="931" ht="15.75" customHeight="1">
      <c r="L931" s="58"/>
    </row>
    <row r="932" ht="15.75" customHeight="1">
      <c r="L932" s="58"/>
    </row>
    <row r="933" ht="15.75" customHeight="1">
      <c r="L933" s="58"/>
    </row>
    <row r="934" ht="15.75" customHeight="1">
      <c r="L934" s="58"/>
    </row>
    <row r="935" ht="15.75" customHeight="1">
      <c r="L935" s="58"/>
    </row>
    <row r="936" ht="15.75" customHeight="1">
      <c r="L936" s="58"/>
    </row>
    <row r="937" ht="15.75" customHeight="1">
      <c r="L937" s="58"/>
    </row>
    <row r="938" ht="15.75" customHeight="1">
      <c r="L938" s="58"/>
    </row>
    <row r="939" ht="15.75" customHeight="1">
      <c r="L939" s="58"/>
    </row>
    <row r="940" ht="15.75" customHeight="1">
      <c r="L940" s="58"/>
    </row>
    <row r="941" ht="15.75" customHeight="1">
      <c r="L941" s="58"/>
    </row>
    <row r="942" ht="15.75" customHeight="1">
      <c r="L942" s="58"/>
    </row>
    <row r="943" ht="15.75" customHeight="1">
      <c r="L943" s="58"/>
    </row>
    <row r="944" ht="15.75" customHeight="1">
      <c r="L944" s="58"/>
    </row>
    <row r="945" ht="15.75" customHeight="1">
      <c r="L945" s="58"/>
    </row>
    <row r="946" ht="15.75" customHeight="1">
      <c r="L946" s="58"/>
    </row>
    <row r="947" ht="15.75" customHeight="1">
      <c r="L947" s="58"/>
    </row>
    <row r="948" ht="15.75" customHeight="1">
      <c r="L948" s="58"/>
    </row>
    <row r="949" ht="15.75" customHeight="1">
      <c r="L949" s="58"/>
    </row>
    <row r="950" ht="15.75" customHeight="1">
      <c r="L950" s="58"/>
    </row>
    <row r="951" ht="15.75" customHeight="1">
      <c r="L951" s="58"/>
    </row>
    <row r="952" ht="15.75" customHeight="1">
      <c r="L952" s="58"/>
    </row>
    <row r="953" ht="15.75" customHeight="1">
      <c r="L953" s="58"/>
    </row>
    <row r="954" ht="15.75" customHeight="1">
      <c r="L954" s="58"/>
    </row>
    <row r="955" ht="15.75" customHeight="1">
      <c r="L955" s="58"/>
    </row>
    <row r="956" ht="15.75" customHeight="1">
      <c r="L956" s="58"/>
    </row>
    <row r="957" ht="15.75" customHeight="1">
      <c r="L957" s="58"/>
    </row>
    <row r="958" ht="15.75" customHeight="1">
      <c r="L958" s="58"/>
    </row>
    <row r="959" ht="15.75" customHeight="1">
      <c r="L959" s="58"/>
    </row>
    <row r="960" ht="15.75" customHeight="1">
      <c r="L960" s="58"/>
    </row>
    <row r="961" ht="15.75" customHeight="1">
      <c r="L961" s="58"/>
    </row>
    <row r="962" ht="15.75" customHeight="1">
      <c r="L962" s="58"/>
    </row>
    <row r="963" ht="15.75" customHeight="1">
      <c r="L963" s="58"/>
    </row>
    <row r="964" ht="15.75" customHeight="1">
      <c r="L964" s="58"/>
    </row>
    <row r="965" ht="15.75" customHeight="1">
      <c r="L965" s="58"/>
    </row>
    <row r="966" ht="15.75" customHeight="1">
      <c r="L966" s="58"/>
    </row>
    <row r="967" ht="15.75" customHeight="1">
      <c r="L967" s="58"/>
    </row>
    <row r="968" ht="15.75" customHeight="1">
      <c r="L968" s="58"/>
    </row>
    <row r="969" ht="15.75" customHeight="1">
      <c r="L969" s="58"/>
    </row>
    <row r="970" ht="15.75" customHeight="1">
      <c r="L970" s="58"/>
    </row>
    <row r="971" ht="15.75" customHeight="1">
      <c r="L971" s="58"/>
    </row>
    <row r="972" ht="15.75" customHeight="1">
      <c r="L972" s="58"/>
    </row>
    <row r="973" ht="15.75" customHeight="1">
      <c r="L973" s="58"/>
    </row>
    <row r="974" ht="15.75" customHeight="1">
      <c r="L974" s="58"/>
    </row>
    <row r="975" ht="15.75" customHeight="1">
      <c r="L975" s="58"/>
    </row>
    <row r="976" ht="15.75" customHeight="1">
      <c r="L976" s="58"/>
    </row>
    <row r="977" ht="15.75" customHeight="1">
      <c r="L977" s="58"/>
    </row>
    <row r="978" ht="15.75" customHeight="1">
      <c r="L978" s="58"/>
    </row>
    <row r="979" ht="15.75" customHeight="1">
      <c r="L979" s="58"/>
    </row>
    <row r="980" ht="15.75" customHeight="1">
      <c r="L980" s="58"/>
    </row>
    <row r="981" ht="15.75" customHeight="1">
      <c r="L981" s="58"/>
    </row>
    <row r="982" ht="15.75" customHeight="1">
      <c r="L982" s="58"/>
    </row>
    <row r="983" ht="15.75" customHeight="1">
      <c r="L983" s="58"/>
    </row>
    <row r="984" ht="15.75" customHeight="1">
      <c r="L984" s="58"/>
    </row>
    <row r="985" ht="15.75" customHeight="1">
      <c r="L985" s="58"/>
    </row>
    <row r="986" ht="15.75" customHeight="1">
      <c r="L986" s="58"/>
    </row>
    <row r="987" ht="15.75" customHeight="1">
      <c r="L987" s="58"/>
    </row>
    <row r="988" ht="15.75" customHeight="1">
      <c r="L988" s="58"/>
    </row>
    <row r="989" ht="15.75" customHeight="1">
      <c r="L989" s="58"/>
    </row>
    <row r="990" ht="15.75" customHeight="1">
      <c r="L990" s="58"/>
    </row>
    <row r="991" ht="15.75" customHeight="1">
      <c r="L991" s="58"/>
    </row>
    <row r="992" ht="15.75" customHeight="1">
      <c r="L992" s="58"/>
    </row>
    <row r="993" ht="15.75" customHeight="1">
      <c r="L993" s="58"/>
    </row>
    <row r="994" ht="15.75" customHeight="1">
      <c r="L994" s="58"/>
    </row>
    <row r="995" ht="15.75" customHeight="1">
      <c r="L995" s="58"/>
    </row>
    <row r="996" ht="15.75" customHeight="1">
      <c r="L996" s="58"/>
    </row>
    <row r="997" ht="15.75" customHeight="1">
      <c r="L997" s="58"/>
    </row>
    <row r="998" ht="15.75" customHeight="1">
      <c r="L998" s="58"/>
    </row>
    <row r="999" ht="15.75" customHeight="1">
      <c r="L999" s="58"/>
    </row>
    <row r="1000" ht="15.75" customHeight="1">
      <c r="L1000" s="58"/>
    </row>
  </sheetData>
  <printOptions/>
  <pageMargins bottom="1.0" footer="0.0" header="0.0" left="0.75" right="0.75" top="1.0"/>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11.71"/>
    <col customWidth="1" min="3" max="3" width="12.43"/>
    <col customWidth="1" min="4" max="26" width="8.71"/>
  </cols>
  <sheetData>
    <row r="1" ht="14.25" customHeight="1">
      <c r="A1" s="40" t="s">
        <v>35</v>
      </c>
      <c r="B1" s="40" t="s">
        <v>33</v>
      </c>
      <c r="C1" s="59" t="s">
        <v>147</v>
      </c>
    </row>
    <row r="2" ht="14.25" customHeight="1">
      <c r="A2" s="60" t="s">
        <v>148</v>
      </c>
      <c r="B2" s="60">
        <v>19029.96</v>
      </c>
      <c r="C2" s="61"/>
    </row>
    <row r="3" ht="14.25" customHeight="1">
      <c r="A3" s="60" t="s">
        <v>149</v>
      </c>
      <c r="B3" s="60">
        <v>18507.339999999997</v>
      </c>
      <c r="C3" s="62">
        <f t="shared" ref="C3:C14" si="1">(B3-B2)/B2</f>
        <v>-0.02746301096</v>
      </c>
    </row>
    <row r="4" ht="14.25" customHeight="1">
      <c r="A4" s="60" t="s">
        <v>150</v>
      </c>
      <c r="B4" s="60">
        <v>20187.51</v>
      </c>
      <c r="C4" s="62">
        <f t="shared" si="1"/>
        <v>0.09078398084</v>
      </c>
    </row>
    <row r="5" ht="14.25" customHeight="1">
      <c r="A5" s="60" t="s">
        <v>151</v>
      </c>
      <c r="B5" s="60">
        <v>11609.039999999999</v>
      </c>
      <c r="C5" s="62">
        <f t="shared" si="1"/>
        <v>-0.4249394799</v>
      </c>
    </row>
    <row r="6" ht="14.25" customHeight="1">
      <c r="A6" s="60" t="s">
        <v>152</v>
      </c>
      <c r="B6" s="60">
        <v>10091.699999999999</v>
      </c>
      <c r="C6" s="62">
        <f t="shared" si="1"/>
        <v>-0.130703314</v>
      </c>
    </row>
    <row r="7" ht="14.25" customHeight="1">
      <c r="A7" s="60" t="s">
        <v>153</v>
      </c>
      <c r="B7" s="60">
        <v>20533.499999999996</v>
      </c>
      <c r="C7" s="62">
        <f t="shared" si="1"/>
        <v>1.034691876</v>
      </c>
    </row>
    <row r="8" ht="14.25" customHeight="1">
      <c r="A8" s="60" t="s">
        <v>154</v>
      </c>
      <c r="B8" s="60">
        <v>14215.240000000002</v>
      </c>
      <c r="C8" s="62">
        <f t="shared" si="1"/>
        <v>-0.3077049699</v>
      </c>
    </row>
    <row r="9" ht="14.25" customHeight="1">
      <c r="A9" s="60" t="s">
        <v>155</v>
      </c>
      <c r="B9" s="60">
        <v>20135.030000000002</v>
      </c>
      <c r="C9" s="62">
        <f t="shared" si="1"/>
        <v>0.4164396802</v>
      </c>
    </row>
    <row r="10" ht="14.25" customHeight="1">
      <c r="A10" s="60" t="s">
        <v>156</v>
      </c>
      <c r="B10" s="60">
        <v>11120.04</v>
      </c>
      <c r="C10" s="62">
        <f t="shared" si="1"/>
        <v>-0.4477266734</v>
      </c>
    </row>
    <row r="11" ht="14.25" customHeight="1">
      <c r="A11" s="60" t="s">
        <v>157</v>
      </c>
      <c r="B11" s="60">
        <v>14914.650000000001</v>
      </c>
      <c r="C11" s="62">
        <f t="shared" si="1"/>
        <v>0.341240679</v>
      </c>
    </row>
    <row r="12" ht="14.25" customHeight="1">
      <c r="A12" s="60" t="s">
        <v>158</v>
      </c>
      <c r="B12" s="60">
        <v>14006.359999999999</v>
      </c>
      <c r="C12" s="62">
        <f t="shared" si="1"/>
        <v>-0.06089918302</v>
      </c>
    </row>
    <row r="13" ht="14.25" customHeight="1">
      <c r="A13" s="60" t="s">
        <v>159</v>
      </c>
      <c r="B13" s="60">
        <v>17655.219999999998</v>
      </c>
      <c r="C13" s="62">
        <f t="shared" si="1"/>
        <v>0.2605145091</v>
      </c>
    </row>
    <row r="14" ht="14.25" customHeight="1">
      <c r="A14" s="60" t="s">
        <v>160</v>
      </c>
      <c r="B14" s="60">
        <v>3212.17</v>
      </c>
      <c r="C14" s="62">
        <f t="shared" si="1"/>
        <v>-0.818061174</v>
      </c>
    </row>
    <row r="15" ht="14.25" customHeight="1">
      <c r="A15" s="33" t="s">
        <v>26</v>
      </c>
      <c r="B15" s="33">
        <v>195217.76</v>
      </c>
      <c r="C15" s="63">
        <f>AVERAGE(C3:C14)</f>
        <v>-0.006152256703</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1.71"/>
    <col customWidth="1" min="3" max="26" width="8.71"/>
  </cols>
  <sheetData>
    <row r="1" ht="14.25" customHeight="1"/>
    <row r="2" ht="14.25" customHeight="1">
      <c r="A2" s="2" t="s">
        <v>11</v>
      </c>
      <c r="B2" s="25" t="s">
        <v>33</v>
      </c>
    </row>
    <row r="3" ht="14.25" customHeight="1">
      <c r="A3" s="64" t="s">
        <v>21</v>
      </c>
      <c r="B3" s="2">
        <v>47002.46000000001</v>
      </c>
    </row>
    <row r="4" ht="14.25" customHeight="1">
      <c r="A4" s="64" t="s">
        <v>22</v>
      </c>
      <c r="B4" s="2">
        <v>41927.58999999999</v>
      </c>
    </row>
    <row r="5" ht="14.25" customHeight="1">
      <c r="A5" s="64" t="s">
        <v>23</v>
      </c>
      <c r="B5" s="2">
        <v>41044.00000000001</v>
      </c>
    </row>
    <row r="6" ht="14.25" customHeight="1">
      <c r="A6" s="64" t="s">
        <v>24</v>
      </c>
      <c r="B6" s="2">
        <v>36612.89</v>
      </c>
    </row>
    <row r="7" ht="14.25" customHeight="1">
      <c r="A7" s="64" t="s">
        <v>25</v>
      </c>
      <c r="B7" s="2">
        <v>28630.819999999992</v>
      </c>
    </row>
    <row r="8" ht="14.25" customHeight="1">
      <c r="A8" s="64" t="s">
        <v>26</v>
      </c>
      <c r="B8" s="2">
        <v>195217.76</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43"/>
    <col customWidth="1" min="3" max="6" width="8.86"/>
    <col customWidth="1" min="7" max="26" width="8.71"/>
  </cols>
  <sheetData>
    <row r="1" ht="14.25" customHeight="1">
      <c r="A1" s="65" t="s">
        <v>161</v>
      </c>
      <c r="B1" s="65" t="s">
        <v>162</v>
      </c>
      <c r="C1" s="19"/>
      <c r="D1" s="19"/>
      <c r="E1" s="19"/>
      <c r="F1" s="19"/>
      <c r="G1" s="19"/>
      <c r="H1" s="19"/>
      <c r="I1" s="19"/>
      <c r="J1" s="19"/>
      <c r="K1" s="19"/>
      <c r="L1" s="19"/>
      <c r="M1" s="19"/>
      <c r="N1" s="19"/>
      <c r="O1" s="19"/>
      <c r="P1" s="19"/>
      <c r="Q1" s="19"/>
      <c r="R1" s="19"/>
      <c r="S1" s="19"/>
      <c r="T1" s="19"/>
      <c r="U1" s="19"/>
      <c r="V1" s="19"/>
      <c r="W1" s="19"/>
      <c r="X1" s="19"/>
      <c r="Y1" s="19"/>
      <c r="Z1" s="19"/>
    </row>
    <row r="2" ht="14.25" customHeight="1">
      <c r="A2" s="55" t="s">
        <v>12</v>
      </c>
      <c r="B2" s="55">
        <f>SUM(Dataset!E:E)</f>
        <v>195217.76</v>
      </c>
      <c r="C2" s="19"/>
      <c r="D2" s="19"/>
      <c r="E2" s="19"/>
      <c r="F2" s="19"/>
      <c r="G2" s="19"/>
      <c r="H2" s="19"/>
      <c r="I2" s="19"/>
      <c r="J2" s="19"/>
      <c r="K2" s="19"/>
      <c r="L2" s="19"/>
      <c r="M2" s="19"/>
      <c r="N2" s="19"/>
      <c r="O2" s="19"/>
      <c r="P2" s="19"/>
      <c r="Q2" s="19"/>
      <c r="R2" s="19"/>
      <c r="S2" s="19"/>
      <c r="T2" s="19"/>
      <c r="U2" s="19"/>
      <c r="V2" s="19"/>
      <c r="W2" s="19"/>
      <c r="X2" s="19"/>
      <c r="Y2" s="19"/>
      <c r="Z2" s="19"/>
    </row>
    <row r="3" ht="14.25" customHeight="1">
      <c r="A3" s="55" t="s">
        <v>14</v>
      </c>
      <c r="B3" s="55">
        <v>0.09725</v>
      </c>
      <c r="C3" s="19"/>
      <c r="D3" s="19"/>
      <c r="E3" s="19"/>
      <c r="F3" s="19"/>
      <c r="G3" s="19"/>
      <c r="H3" s="19"/>
      <c r="I3" s="19"/>
      <c r="J3" s="19"/>
      <c r="K3" s="19"/>
      <c r="L3" s="19"/>
      <c r="M3" s="19"/>
      <c r="N3" s="19"/>
      <c r="O3" s="19"/>
      <c r="P3" s="19"/>
      <c r="Q3" s="19"/>
      <c r="R3" s="19"/>
      <c r="S3" s="19"/>
      <c r="T3" s="19"/>
      <c r="U3" s="19"/>
      <c r="V3" s="19"/>
      <c r="W3" s="19"/>
      <c r="X3" s="19"/>
      <c r="Y3" s="19"/>
      <c r="Z3" s="19"/>
    </row>
    <row r="4" ht="14.25" customHeight="1">
      <c r="A4" s="55" t="s">
        <v>16</v>
      </c>
      <c r="B4" s="55">
        <f>B2-(B2*B3)</f>
        <v>176232.8328</v>
      </c>
      <c r="C4" s="19"/>
      <c r="D4" s="19"/>
      <c r="E4" s="19"/>
      <c r="F4" s="19"/>
      <c r="G4" s="19"/>
      <c r="H4" s="19"/>
      <c r="I4" s="19"/>
      <c r="J4" s="19"/>
      <c r="K4" s="19"/>
      <c r="L4" s="19"/>
      <c r="M4" s="19"/>
      <c r="N4" s="19"/>
      <c r="O4" s="19"/>
      <c r="P4" s="19"/>
      <c r="Q4" s="19"/>
      <c r="R4" s="19"/>
      <c r="S4" s="19"/>
      <c r="T4" s="19"/>
      <c r="U4" s="19"/>
      <c r="V4" s="19"/>
      <c r="W4" s="19"/>
      <c r="X4" s="19"/>
      <c r="Y4" s="19"/>
      <c r="Z4" s="19"/>
    </row>
    <row r="5" ht="14.25" customHeight="1">
      <c r="A5" s="19"/>
      <c r="B5" s="19"/>
      <c r="C5" s="19"/>
      <c r="D5" s="19"/>
      <c r="E5" s="19"/>
      <c r="F5" s="19"/>
      <c r="G5" s="19"/>
      <c r="H5" s="19"/>
      <c r="I5" s="19"/>
      <c r="J5" s="19"/>
      <c r="K5" s="19"/>
      <c r="L5" s="19"/>
      <c r="M5" s="19"/>
      <c r="N5" s="19"/>
      <c r="O5" s="19"/>
      <c r="P5" s="19"/>
      <c r="Q5" s="19"/>
      <c r="R5" s="19"/>
      <c r="S5" s="19"/>
      <c r="T5" s="19"/>
      <c r="U5" s="19"/>
      <c r="V5" s="19"/>
      <c r="W5" s="19"/>
      <c r="X5" s="19"/>
      <c r="Y5" s="19"/>
      <c r="Z5" s="19"/>
    </row>
    <row r="6" ht="14.25" customHeight="1">
      <c r="A6" s="19"/>
      <c r="B6" s="19"/>
      <c r="C6" s="19"/>
      <c r="D6" s="19"/>
      <c r="E6" s="19"/>
      <c r="F6" s="19"/>
      <c r="G6" s="19"/>
      <c r="H6" s="19"/>
      <c r="I6" s="19"/>
      <c r="J6" s="19"/>
      <c r="K6" s="19"/>
      <c r="L6" s="19"/>
      <c r="M6" s="19"/>
      <c r="N6" s="19"/>
      <c r="O6" s="19"/>
      <c r="P6" s="19"/>
      <c r="Q6" s="19"/>
      <c r="R6" s="19"/>
      <c r="S6" s="19"/>
      <c r="T6" s="19"/>
      <c r="U6" s="19"/>
      <c r="V6" s="19"/>
      <c r="W6" s="19"/>
      <c r="X6" s="19"/>
      <c r="Y6" s="19"/>
      <c r="Z6" s="19"/>
    </row>
    <row r="7" ht="14.25" customHeight="1">
      <c r="A7" s="19"/>
      <c r="B7" s="19"/>
      <c r="C7" s="19"/>
      <c r="D7" s="19"/>
      <c r="E7" s="19"/>
      <c r="F7" s="19"/>
      <c r="G7" s="19"/>
      <c r="H7" s="19"/>
      <c r="I7" s="19"/>
      <c r="J7" s="19"/>
      <c r="K7" s="19"/>
      <c r="L7" s="19"/>
      <c r="M7" s="19"/>
      <c r="N7" s="19"/>
      <c r="O7" s="19"/>
      <c r="P7" s="19"/>
      <c r="Q7" s="19"/>
      <c r="R7" s="19"/>
      <c r="S7" s="19"/>
      <c r="T7" s="19"/>
      <c r="U7" s="19"/>
      <c r="V7" s="19"/>
      <c r="W7" s="19"/>
      <c r="X7" s="19"/>
      <c r="Y7" s="19"/>
      <c r="Z7" s="19"/>
    </row>
    <row r="8" ht="14.25" customHeight="1">
      <c r="A8" s="19"/>
      <c r="B8" s="19"/>
      <c r="C8" s="19"/>
      <c r="D8" s="19"/>
      <c r="E8" s="19"/>
      <c r="F8" s="19"/>
      <c r="G8" s="19"/>
      <c r="H8" s="19"/>
      <c r="I8" s="19"/>
      <c r="J8" s="19"/>
      <c r="K8" s="19"/>
      <c r="L8" s="19"/>
      <c r="M8" s="19"/>
      <c r="N8" s="19"/>
      <c r="O8" s="19"/>
      <c r="P8" s="19"/>
      <c r="Q8" s="19"/>
      <c r="R8" s="19"/>
      <c r="S8" s="19"/>
      <c r="T8" s="19"/>
      <c r="U8" s="19"/>
      <c r="V8" s="19"/>
      <c r="W8" s="19"/>
      <c r="X8" s="19"/>
      <c r="Y8" s="19"/>
      <c r="Z8" s="19"/>
    </row>
    <row r="9" ht="14.25" customHeight="1">
      <c r="A9" s="19"/>
      <c r="B9" s="19"/>
      <c r="C9" s="19"/>
      <c r="D9" s="19"/>
      <c r="E9" s="19"/>
      <c r="F9" s="19"/>
      <c r="G9" s="19"/>
      <c r="H9" s="19"/>
      <c r="I9" s="19"/>
      <c r="J9" s="19"/>
      <c r="K9" s="19"/>
      <c r="L9" s="19"/>
      <c r="M9" s="19"/>
      <c r="N9" s="19"/>
      <c r="O9" s="19"/>
      <c r="P9" s="19"/>
      <c r="Q9" s="19"/>
      <c r="R9" s="19"/>
      <c r="S9" s="19"/>
      <c r="T9" s="19"/>
      <c r="U9" s="19"/>
      <c r="V9" s="19"/>
      <c r="W9" s="19"/>
      <c r="X9" s="19"/>
      <c r="Y9" s="19"/>
      <c r="Z9" s="19"/>
    </row>
    <row r="10" ht="14.25" customHeight="1">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ht="14.2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4.2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4.2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4.2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4.2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4.2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4.2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4.2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4.2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4.2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4.2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4.2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4.2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4.2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4.2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4.2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4.2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4.2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4.2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4.2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4.2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4.2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4.2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4.2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4.2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4.2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4.2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4.2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4.2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4.2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4.2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4.2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4.2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4.2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4.2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4.2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4.2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4.2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4.2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4.2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4.2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4.2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4.2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4.2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4.2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4.2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4.2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4.2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4.2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4.2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4.2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4.2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4.2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4.2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4.2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4.2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4.2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4.2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4.2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4.2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4.2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4.2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4.2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4.2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4.2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4.2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4.2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4.2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4.2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4.2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4.2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4.2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4.2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4.2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